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362168\OneDrive\Projetos\Budhi\Excel\Controle_Financeiro_Pessoal\"/>
    </mc:Choice>
  </mc:AlternateContent>
  <bookViews>
    <workbookView xWindow="0" yWindow="0" windowWidth="28800" windowHeight="12435" tabRatio="779" activeTab="4"/>
  </bookViews>
  <sheets>
    <sheet name="Início" sheetId="1" r:id="rId1"/>
    <sheet name="TODO" sheetId="2" r:id="rId2"/>
    <sheet name="Plan4" sheetId="4" r:id="rId3"/>
    <sheet name="Cadastro - Catão de Crédito" sheetId="6" r:id="rId4"/>
    <sheet name="Cartão de Crédito - Detalhado" sheetId="5" r:id="rId5"/>
    <sheet name="Fluxo - Cartão de Crédito" sheetId="7" r:id="rId6"/>
  </sheets>
  <definedNames>
    <definedName name="lst_Sigla_Cartao_Credito">tb_Cadastro_Cartao_Credito[Sigla 
(Não altere após início de utilização da Planilha)]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5" i="7" l="1"/>
  <c r="AP5" i="7"/>
  <c r="AL5" i="7"/>
  <c r="AH5" i="7"/>
  <c r="AD5" i="7"/>
  <c r="Z5" i="7"/>
  <c r="V5" i="7"/>
  <c r="R5" i="7"/>
  <c r="N5" i="7"/>
  <c r="J5" i="7"/>
  <c r="F5" i="7"/>
  <c r="I10" i="5"/>
  <c r="AZ5" i="7" s="1"/>
  <c r="J10" i="5"/>
  <c r="M10" i="5" s="1"/>
  <c r="K10" i="5"/>
  <c r="N10" i="5"/>
  <c r="R10" i="5"/>
  <c r="S10" i="5"/>
  <c r="V10" i="5"/>
  <c r="W10" i="5"/>
  <c r="Z10" i="5"/>
  <c r="AA10" i="5"/>
  <c r="AD10" i="5"/>
  <c r="AE10" i="5"/>
  <c r="AH10" i="5"/>
  <c r="AI10" i="5"/>
  <c r="AL10" i="5"/>
  <c r="AM10" i="5"/>
  <c r="AP10" i="5"/>
  <c r="AQ10" i="5"/>
  <c r="AT10" i="5"/>
  <c r="AU10" i="5"/>
  <c r="AV10" i="5"/>
  <c r="AW10" i="5"/>
  <c r="AX10" i="5"/>
  <c r="AY10" i="5"/>
  <c r="AZ10" i="5"/>
  <c r="BA10" i="5"/>
  <c r="BB10" i="5"/>
  <c r="BC10" i="5"/>
  <c r="N3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M5" i="5"/>
  <c r="M7" i="5"/>
  <c r="M8" i="5"/>
  <c r="M9" i="5"/>
  <c r="L5" i="5"/>
  <c r="L7" i="5"/>
  <c r="L8" i="5"/>
  <c r="L9" i="5"/>
  <c r="K5" i="7" l="1"/>
  <c r="S5" i="7"/>
  <c r="AA5" i="7"/>
  <c r="AI5" i="7"/>
  <c r="AQ5" i="7"/>
  <c r="AY5" i="7"/>
  <c r="E5" i="7"/>
  <c r="I5" i="7"/>
  <c r="M5" i="7"/>
  <c r="Q5" i="7"/>
  <c r="U5" i="7"/>
  <c r="Y5" i="7"/>
  <c r="AC5" i="7"/>
  <c r="AG5" i="7"/>
  <c r="AK5" i="7"/>
  <c r="AO5" i="7"/>
  <c r="AS5" i="7"/>
  <c r="AW5" i="7"/>
  <c r="AX5" i="7"/>
  <c r="G5" i="7"/>
  <c r="O5" i="7"/>
  <c r="W5" i="7"/>
  <c r="AE5" i="7"/>
  <c r="AM5" i="7"/>
  <c r="AU5" i="7"/>
  <c r="D5" i="7"/>
  <c r="H5" i="7"/>
  <c r="L5" i="7"/>
  <c r="P5" i="7"/>
  <c r="T5" i="7"/>
  <c r="X5" i="7"/>
  <c r="AB5" i="7"/>
  <c r="AF5" i="7"/>
  <c r="AJ5" i="7"/>
  <c r="AN5" i="7"/>
  <c r="AR5" i="7"/>
  <c r="AV5" i="7"/>
  <c r="O10" i="5"/>
  <c r="AK10" i="5"/>
  <c r="AR10" i="5"/>
  <c r="AN10" i="5"/>
  <c r="AJ10" i="5"/>
  <c r="AF10" i="5"/>
  <c r="AB10" i="5"/>
  <c r="X10" i="5"/>
  <c r="T10" i="5"/>
  <c r="P10" i="5"/>
  <c r="L10" i="5"/>
  <c r="AS10" i="5"/>
  <c r="AO10" i="5"/>
  <c r="AG10" i="5"/>
  <c r="AC10" i="5"/>
  <c r="Y10" i="5"/>
  <c r="U10" i="5"/>
  <c r="Q10" i="5"/>
  <c r="T13" i="5"/>
  <c r="M8" i="7" s="1"/>
  <c r="U13" i="5"/>
  <c r="N8" i="7" s="1"/>
  <c r="V13" i="5"/>
  <c r="O8" i="7" s="1"/>
  <c r="S13" i="5"/>
  <c r="L8" i="7" s="1"/>
  <c r="I3" i="5"/>
  <c r="I4" i="5"/>
  <c r="I5" i="5"/>
  <c r="I6" i="5"/>
  <c r="I7" i="5"/>
  <c r="I8" i="5"/>
  <c r="I9" i="5"/>
  <c r="J9" i="5" l="1"/>
  <c r="K9" i="5" s="1"/>
  <c r="R13" i="5" s="1"/>
  <c r="K8" i="7" s="1"/>
  <c r="J3" i="5"/>
  <c r="J4" i="5"/>
  <c r="J5" i="5"/>
  <c r="K5" i="5" s="1"/>
  <c r="J6" i="5"/>
  <c r="J7" i="5"/>
  <c r="K7" i="5" s="1"/>
  <c r="J8" i="5"/>
  <c r="K8" i="5" s="1"/>
  <c r="F1" i="5"/>
  <c r="E1" i="5"/>
  <c r="N4" i="5" l="1"/>
  <c r="L4" i="5"/>
  <c r="K4" i="5"/>
  <c r="M4" i="5"/>
  <c r="K3" i="5"/>
  <c r="L3" i="5"/>
  <c r="L13" i="5" s="1"/>
  <c r="E8" i="7" s="1"/>
  <c r="M3" i="5"/>
  <c r="N6" i="5"/>
  <c r="L6" i="5"/>
  <c r="M6" i="5"/>
  <c r="O13" i="5" s="1"/>
  <c r="H8" i="7" s="1"/>
  <c r="O6" i="5"/>
  <c r="K6" i="5"/>
  <c r="J33" i="4"/>
  <c r="I33" i="4"/>
  <c r="H33" i="4"/>
  <c r="G13" i="4"/>
  <c r="F13" i="4"/>
  <c r="E14" i="4"/>
  <c r="C13" i="4"/>
  <c r="E10" i="4"/>
  <c r="L9" i="4"/>
  <c r="L8" i="4"/>
  <c r="F6" i="4"/>
  <c r="C10" i="4"/>
  <c r="A2" i="2"/>
  <c r="A3" i="2" s="1"/>
  <c r="A4" i="2" s="1"/>
  <c r="A5" i="2" s="1"/>
  <c r="A6" i="2" s="1"/>
  <c r="A7" i="2" s="1"/>
  <c r="A8" i="2" s="1"/>
  <c r="A9" i="2" s="1"/>
  <c r="A10" i="2" s="1"/>
  <c r="A11" i="2" s="1"/>
  <c r="Q13" i="5" l="1"/>
  <c r="J8" i="7" s="1"/>
  <c r="M13" i="5"/>
  <c r="F8" i="7" s="1"/>
  <c r="P13" i="5"/>
  <c r="I8" i="7" s="1"/>
  <c r="K13" i="5"/>
  <c r="D8" i="7" s="1"/>
  <c r="N13" i="5"/>
  <c r="G8" i="7" s="1"/>
</calcChain>
</file>

<file path=xl/sharedStrings.xml><?xml version="1.0" encoding="utf-8"?>
<sst xmlns="http://schemas.openxmlformats.org/spreadsheetml/2006/main" count="154" uniqueCount="143">
  <si>
    <t>Descrição</t>
  </si>
  <si>
    <t>#</t>
  </si>
  <si>
    <t>Status</t>
  </si>
  <si>
    <t>Usuário e Senha</t>
  </si>
  <si>
    <t>Cálculo de Juros de Empréstimo Avançado</t>
  </si>
  <si>
    <t>Gerenciamento de Cartão de Crédito</t>
  </si>
  <si>
    <t>Gestão de Contas Fixas</t>
  </si>
  <si>
    <t>Pagamentos de Contas por categoria e por origem do recurso</t>
  </si>
  <si>
    <t>Gestão de Bancos (conas bancárias)</t>
  </si>
  <si>
    <t>Projeção de Fluxo de Caixa</t>
  </si>
  <si>
    <t>Orçamento</t>
  </si>
  <si>
    <t>Progressão Anual transferir de um ano para outro manter histórico</t>
  </si>
  <si>
    <t>Compatibilidade com Excel 2007 - 2013</t>
  </si>
  <si>
    <t>Valor Final</t>
  </si>
  <si>
    <t>Prazo</t>
  </si>
  <si>
    <t>meses</t>
  </si>
  <si>
    <t>Prestação</t>
  </si>
  <si>
    <t>mensal</t>
  </si>
  <si>
    <t>Juros</t>
  </si>
  <si>
    <t>ao mês</t>
  </si>
  <si>
    <t>Valor Inicial</t>
  </si>
  <si>
    <t>Data</t>
  </si>
  <si>
    <t>Valor (US$)</t>
  </si>
  <si>
    <t>Cartão</t>
  </si>
  <si>
    <t>Bandeira</t>
  </si>
  <si>
    <t>Banco</t>
  </si>
  <si>
    <t>Visa</t>
  </si>
  <si>
    <t>Mastercard</t>
  </si>
  <si>
    <t>Santander</t>
  </si>
  <si>
    <t>Visa - Sant</t>
  </si>
  <si>
    <t>Master - Caixa</t>
  </si>
  <si>
    <t>Caixa Econômica Federal</t>
  </si>
  <si>
    <t>Valor (R$)</t>
  </si>
  <si>
    <t>Parcelas</t>
  </si>
  <si>
    <t>Placa Mãe</t>
  </si>
  <si>
    <t>Monitor</t>
  </si>
  <si>
    <t>Gabinete</t>
  </si>
  <si>
    <t>HD SSD</t>
  </si>
  <si>
    <t>Dia  Fechamento Fatura</t>
  </si>
  <si>
    <r>
      <t xml:space="preserve">Sigla 
</t>
    </r>
    <r>
      <rPr>
        <sz val="9"/>
        <color rgb="FFFF0000"/>
        <rFont val="Calibri"/>
        <family val="2"/>
        <scheme val="minor"/>
      </rPr>
      <t>(Não altere após início de utilização da Planilha)</t>
    </r>
  </si>
  <si>
    <t>Classificação</t>
  </si>
  <si>
    <t>#TODO</t>
  </si>
  <si>
    <t>Mês 1</t>
  </si>
  <si>
    <t>Mês 2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</si>
  <si>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</si>
  <si>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</si>
  <si>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</si>
  <si>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</si>
  <si>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</si>
  <si>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</si>
  <si>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</si>
  <si>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</si>
  <si>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</si>
  <si>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</si>
  <si>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Mês 13</t>
  </si>
  <si>
    <t>Mês 14</t>
  </si>
  <si>
    <t>Mês 15</t>
  </si>
  <si>
    <t>Mês 16</t>
  </si>
  <si>
    <t>Mês 17</t>
  </si>
  <si>
    <t>Mês 18</t>
  </si>
  <si>
    <t>Mês 19</t>
  </si>
  <si>
    <t>Mês 20</t>
  </si>
  <si>
    <t>Mês 21</t>
  </si>
  <si>
    <t>Mês 22</t>
  </si>
  <si>
    <t>Mês 23</t>
  </si>
  <si>
    <t>Mês 24</t>
  </si>
  <si>
    <t>Mês 25</t>
  </si>
  <si>
    <t>Mês 26</t>
  </si>
  <si>
    <t>Mês 27</t>
  </si>
  <si>
    <t>Mês 28</t>
  </si>
  <si>
    <t>Mês 29</t>
  </si>
  <si>
    <t>Mês 30</t>
  </si>
  <si>
    <t>Mês 31</t>
  </si>
  <si>
    <t>Mês 32</t>
  </si>
  <si>
    <t>Mês 33</t>
  </si>
  <si>
    <t>Mês 34</t>
  </si>
  <si>
    <t>Mês 35</t>
  </si>
  <si>
    <t>Mês 36</t>
  </si>
  <si>
    <t>Mês 37</t>
  </si>
  <si>
    <t>Mês 38</t>
  </si>
  <si>
    <t>Mês 39</t>
  </si>
  <si>
    <t>Mês 40</t>
  </si>
  <si>
    <t>Mês 41</t>
  </si>
  <si>
    <t>Mês 42</t>
  </si>
  <si>
    <t>Mês 43</t>
  </si>
  <si>
    <t>Mês 44</t>
  </si>
  <si>
    <t>Mês 45</t>
  </si>
  <si>
    <t>Almoço</t>
  </si>
  <si>
    <t>Taxa Dólar</t>
  </si>
  <si>
    <t>Raquete Sqash</t>
  </si>
  <si>
    <t>Total</t>
  </si>
  <si>
    <t>Mês/Ano</t>
  </si>
  <si>
    <t>Cartão de Crédito</t>
  </si>
  <si>
    <t>.</t>
  </si>
  <si>
    <t>jan-2017</t>
  </si>
  <si>
    <t>fev-2017</t>
  </si>
  <si>
    <t>mar-2017</t>
  </si>
  <si>
    <t>abr-2017</t>
  </si>
  <si>
    <t>mai-2017</t>
  </si>
  <si>
    <t>jun-2017</t>
  </si>
  <si>
    <t>jul-2017</t>
  </si>
  <si>
    <t>ago-2017</t>
  </si>
  <si>
    <t>set-2017</t>
  </si>
  <si>
    <t>out-2017</t>
  </si>
  <si>
    <t>nov-2017</t>
  </si>
  <si>
    <t>dez-2017</t>
  </si>
  <si>
    <t>jan-2018</t>
  </si>
  <si>
    <t>fev-2018</t>
  </si>
  <si>
    <t>mar-2018</t>
  </si>
  <si>
    <t>abr-2018</t>
  </si>
  <si>
    <t>mai-2018</t>
  </si>
  <si>
    <t>jun-2018</t>
  </si>
  <si>
    <t>jul-2018</t>
  </si>
  <si>
    <t>ago-2018</t>
  </si>
  <si>
    <t>set-2018</t>
  </si>
  <si>
    <t>out-2018</t>
  </si>
  <si>
    <t>nov-2018</t>
  </si>
  <si>
    <t>dez-2018</t>
  </si>
  <si>
    <t>jan-2019</t>
  </si>
  <si>
    <t>fev-2019</t>
  </si>
  <si>
    <t>mar-2019</t>
  </si>
  <si>
    <t>abr-2019</t>
  </si>
  <si>
    <t>mai-2019</t>
  </si>
  <si>
    <t>jun-2019</t>
  </si>
  <si>
    <t>jul-2019</t>
  </si>
  <si>
    <t>ago-2019</t>
  </si>
  <si>
    <t>set-2019</t>
  </si>
  <si>
    <t>out-2019</t>
  </si>
  <si>
    <t>nov-2019</t>
  </si>
  <si>
    <t>dez-2019</t>
  </si>
  <si>
    <t>dez-2020</t>
  </si>
  <si>
    <t>jan-2020</t>
  </si>
  <si>
    <t>fev-2020</t>
  </si>
  <si>
    <t>mar-2020</t>
  </si>
  <si>
    <t>abr-2020</t>
  </si>
  <si>
    <t>mai-2020</t>
  </si>
  <si>
    <t>jun-2020</t>
  </si>
  <si>
    <t>jul-2020</t>
  </si>
  <si>
    <t>ago-2020</t>
  </si>
  <si>
    <t>set-2020</t>
  </si>
  <si>
    <t>out-2020</t>
  </si>
  <si>
    <t>nov-2020</t>
  </si>
  <si>
    <t>jan-2021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</si>
</sst>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R$&quot;\ #,##0.00;[Red]\-&quot;R$&quot;\ #,##0.00"/>
    <numFmt numFmtId="43" formatCode="_-* #,##0.00_-;\-* #,##0.00_-;_-* &quot;-&quot;??_-;_-@_-"/>
    <numFmt numFmtId="164" formatCode="0.0%"/>
    <numFmt numFmtId="165" formatCode="[$-416]d\-mmm\-yy;@"/>
    <numFmt numFmtId="166" formatCode="_-[$R$-416]\ * #,##0.00_-;\-[$R$-416]\ * #,##0.00_-;_-[$R$-416]\ * &quot;-&quot;??_-;_-@_-"/>
    <numFmt numFmtId="167" formatCode="_-[$$-409]* #,##0.00_ ;_-[$$-409]* \-#,##0.00\ ;_-[$$-409]* &quot;-&quot;??_ ;_-@_ "/>
    <numFmt numFmtId="169" formatCode="mmm\-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3" fontId="0" fillId="0" borderId="0" xfId="1" applyFont="1"/>
    <xf numFmtId="10" fontId="0" fillId="0" borderId="0" xfId="0" applyNumberFormat="1"/>
    <xf numFmtId="10" fontId="0" fillId="0" borderId="0" xfId="2" applyNumberFormat="1" applyFont="1"/>
    <xf numFmtId="8" fontId="0" fillId="0" borderId="0" xfId="0" applyNumberFormat="1"/>
    <xf numFmtId="43" fontId="0" fillId="0" borderId="0" xfId="0" applyNumberFormat="1"/>
    <xf numFmtId="8" fontId="0" fillId="0" borderId="0" xfId="1" applyNumberFormat="1" applyFont="1"/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166" fontId="2" fillId="3" borderId="1" xfId="0" applyNumberFormat="1" applyFont="1" applyFill="1" applyBorder="1" applyAlignment="1">
      <alignment vertical="center"/>
    </xf>
    <xf numFmtId="167" fontId="2" fillId="3" borderId="1" xfId="0" applyNumberFormat="1" applyFont="1" applyFill="1" applyBorder="1" applyAlignment="1">
      <alignment vertical="center"/>
    </xf>
    <xf numFmtId="0" fontId="1" fillId="2" borderId="0" xfId="3" applyAlignment="1">
      <alignment vertical="center"/>
    </xf>
    <xf numFmtId="0" fontId="0" fillId="0" borderId="0" xfId="0" quotePrefix="1"/>
    <xf numFmtId="0" fontId="4" fillId="4" borderId="0" xfId="0" applyFont="1" applyFill="1" applyAlignment="1">
      <alignment horizontal="center"/>
    </xf>
    <xf numFmtId="4" fontId="0" fillId="0" borderId="0" xfId="0" applyNumberFormat="1" applyAlignment="1">
      <alignment vertical="center"/>
    </xf>
    <xf numFmtId="4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" fontId="0" fillId="0" borderId="0" xfId="0" applyNumberFormat="1" applyBorder="1"/>
    <xf numFmtId="0" fontId="1" fillId="2" borderId="3" xfId="3" applyBorder="1" applyAlignment="1">
      <alignment vertical="center"/>
    </xf>
    <xf numFmtId="4" fontId="0" fillId="0" borderId="0" xfId="0" applyNumberFormat="1" applyAlignment="1">
      <alignment horizontal="center"/>
    </xf>
    <xf numFmtId="169" fontId="0" fillId="0" borderId="2" xfId="0" applyNumberFormat="1" applyBorder="1" applyAlignment="1">
      <alignment horizontal="center"/>
    </xf>
    <xf numFmtId="169" fontId="0" fillId="0" borderId="2" xfId="0" applyNumberFormat="1" applyFill="1" applyBorder="1" applyAlignment="1">
      <alignment horizontal="center"/>
    </xf>
    <xf numFmtId="169" fontId="0" fillId="0" borderId="0" xfId="0" applyNumberFormat="1" applyAlignment="1">
      <alignment horizontal="center" vertical="center" wrapText="1"/>
    </xf>
    <xf numFmtId="4" fontId="0" fillId="0" borderId="4" xfId="0" applyNumberFormat="1" applyFont="1" applyBorder="1" applyAlignment="1">
      <alignment horizontal="center"/>
    </xf>
    <xf numFmtId="4" fontId="0" fillId="3" borderId="4" xfId="0" applyNumberFormat="1" applyFont="1" applyFill="1" applyBorder="1" applyAlignment="1">
      <alignment horizontal="center"/>
    </xf>
    <xf numFmtId="169" fontId="2" fillId="0" borderId="4" xfId="0" applyNumberFormat="1" applyFont="1" applyBorder="1" applyAlignment="1">
      <alignment horizontal="center"/>
    </xf>
    <xf numFmtId="169" fontId="2" fillId="3" borderId="4" xfId="0" applyNumberFormat="1" applyFont="1" applyFill="1" applyBorder="1" applyAlignment="1">
      <alignment horizontal="center"/>
    </xf>
    <xf numFmtId="169" fontId="5" fillId="4" borderId="0" xfId="0" applyNumberFormat="1" applyFont="1" applyFill="1" applyAlignment="1">
      <alignment horizontal="center"/>
    </xf>
  </cellXfs>
  <cellStyles count="4">
    <cellStyle name="20% - Ênfase4" xfId="3" builtinId="42"/>
    <cellStyle name="Normal" xfId="0" builtinId="0"/>
    <cellStyle name="Porcentagem" xfId="2" builtinId="5"/>
    <cellStyle name="Vírgula" xfId="1" builtinId="3"/>
  </cellStyles>
  <dxfs count="115"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169" formatCode="mmm\-yyyy"/>
      <alignment horizontal="center" vertical="bottom" textRotation="0" wrapText="0" indent="0" justifyLastLine="0" shrinkToFit="0" readingOrder="0"/>
      <border diagonalUp="0" diagonalDown="0">
        <left style="thick">
          <color theme="7"/>
        </left>
        <right/>
        <top/>
        <bottom/>
      </border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</dxf>
    <dxf>
      <alignment horizontal="general" vertical="center" textRotation="0" wrapText="0" indent="0" justifyLastLine="0" shrinkToFit="0" readingOrder="0"/>
      <border outline="0">
        <right style="thick">
          <color theme="7"/>
        </right>
      </border>
    </dxf>
    <dxf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</dxf>
    <dxf>
      <numFmt numFmtId="167" formatCode="_-[$$-409]* #,##0.00_ ;_-[$$-409]* \-#,##0.00\ ;_-[$$-409]* &quot;-&quot;??_ ;_-@_ "/>
      <alignment horizontal="general" vertical="center" textRotation="0" wrapText="0" indent="0" justifyLastLine="0" shrinkToFit="0" readingOrder="0"/>
    </dxf>
    <dxf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[$-416]d\-mmm\-yy;@"/>
      <alignment horizontal="center" vertical="center" textRotation="0" wrapText="0" indent="0" justifyLastLine="0" shrinkToFit="0" readingOrder="0"/>
    </dxf>
    <dxf>
      <numFmt numFmtId="165" formatCode="[$-416]d\-mmm\-yy;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a1" displayName="Tabela1" ref="A1:C11" totalsRowShown="0" headerRowDxfId="114" dataDxfId="113">
  <tableColumns count="3">
    <tableColumn id="1" name="#" dataDxfId="112">
      <calculatedColumnFormula>IF(ISNUMBER(OFFSET(A2,-1,0)),OFFSET(A2,-1,0)+1,1)</calculatedColumnFormula>
    </tableColumn>
    <tableColumn id="2" name="Descrição" dataDxfId="111"/>
    <tableColumn id="3" name="Status" dataDxfId="110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tb_Cadastro_Cartao_Credito" displayName="tb_Cadastro_Cartao_Credito" ref="A1:D3" totalsRowShown="0" headerRowDxfId="56">
  <tableColumns count="4">
    <tableColumn id="1" name="Bandeira"/>
    <tableColumn id="2" name="Banco"/>
    <tableColumn id="3" name="Sigla _x000a_(Não altere após início de utilização da Planilha)" dataDxfId="55"/>
    <tableColumn id="4" name="Dia  Fechamento Fatura" dataDxfId="54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id="3" name="tb_Cartao_Credito_Detalhado" displayName="tb_Cartao_Credito_Detalhado" ref="A2:BC10" totalsRowShown="0" headerRowDxfId="109" dataDxfId="108">
  <autoFilter ref="A2:BC10"/>
  <tableColumns count="55">
    <tableColumn id="1" name="Data" dataDxfId="107"/>
    <tableColumn id="5" name="Cartão" dataDxfId="106"/>
    <tableColumn id="2" name="Descrição" dataDxfId="105"/>
    <tableColumn id="6" name="Parcelas" dataDxfId="104"/>
    <tableColumn id="3" name="Valor (R$)" dataDxfId="103"/>
    <tableColumn id="4" name="Valor (US$)" dataDxfId="102"/>
    <tableColumn id="54" name="Taxa Dólar" dataDxfId="101"/>
    <tableColumn id="8" name="Classificação" dataDxfId="100" dataCellStyle="20% - Ênfase4"/>
    <tableColumn id="55" name="Mês/Ano" dataDxfId="40" dataCellStyle="Normal">
      <calculatedColumnFormula>IF(ISERROR(TEXT(tb_Cartao_Credito_Detalhado[[#This Row],[Data]],"mm-aaaa")),"ERRO",TEXT(tb_Cartao_Credito_Detalhado[[#This Row],[Data]],"mmm-aaaa"))</calculatedColumnFormula>
    </tableColumn>
    <tableColumn id="57" name="Total" dataDxfId="99">
      <calculatedColumnFormula>tb_Cartao_Credito_Detalhado[[#This Row],[Valor (R$)]]+tb_Cartao_Credito_Detalhado[[#This Row],[Valor (US$)]]*tb_Cartao_Credito_Detalhado[[#This Row],[Taxa Dólar]]</calculatedColumnFormula>
    </tableColumn>
    <tableColumn id="9" name="Mês 1" dataDxfId="39">
      <calculatedColumnFormula>IF(tb_Cartao_Credito_Detalhado[[#This Row],[Parcelas]]&lt;=$K$1,tb_Cartao_Credito_Detalhado[[#This Row],[Total]],tb_Cartao_Credito_Detalhado[[#This Row],[Total]]/tb_Cartao_Credito_Detalhado[[#This Row],[Parcelas]])</calculatedColumnFormula>
    </tableColumn>
    <tableColumn id="10" name="Mês 2" dataDxfId="38">
      <calculatedColumnFormula>IF(tb_Cartao_Credito_Detalhado[[#This Row],[Parcelas]]&gt;=L$1,tb_Cartao_Credito_Detalhado[[#This Row],[Total]]/tb_Cartao_Credito_Detalhado[[#This Row],[Parcelas]],0)</calculatedColumnFormula>
    </tableColumn>
    <tableColumn id="11" name="Mês 3" dataDxfId="37">
      <calculatedColumnFormula>IF(tb_Cartao_Credito_Detalhado[[#This Row],[Parcelas]]&gt;=M$1,tb_Cartao_Credito_Detalhado[[#This Row],[Total]]/tb_Cartao_Credito_Detalhado[[#This Row],[Parcelas]],0)</calculatedColumnFormula>
    </tableColumn>
    <tableColumn id="12" name="Mês 4" dataDxfId="98">
      <calculatedColumnFormula>IF(tb_Cartao_Credito_Detalhado[[#This Row],[Parcelas]]&gt;=N$1,tb_Cartao_Credito_Detalhado[[#This Row],[Total]]/tb_Cartao_Credito_Detalhado[[#This Row],[Parcelas]],0)</calculatedColumnFormula>
    </tableColumn>
    <tableColumn id="13" name="Mês 5" dataDxfId="97">
      <calculatedColumnFormula>IF(tb_Cartao_Credito_Detalhado[[#This Row],[Parcelas]]&gt;=O$1,tb_Cartao_Credito_Detalhado[[#This Row],[Total]]/tb_Cartao_Credito_Detalhado[[#This Row],[Parcelas]],0)</calculatedColumnFormula>
    </tableColumn>
    <tableColumn id="14" name="Mês 6" dataDxfId="96">
      <calculatedColumnFormula>IF(tb_Cartao_Credito_Detalhado[[#This Row],[Parcelas]]&gt;=P$1,tb_Cartao_Credito_Detalhado[[#This Row],[Total]]/tb_Cartao_Credito_Detalhado[[#This Row],[Parcelas]],0)</calculatedColumnFormula>
    </tableColumn>
    <tableColumn id="15" name="Mês 7" dataDxfId="95">
      <calculatedColumnFormula>IF(tb_Cartao_Credito_Detalhado[[#This Row],[Parcelas]]&gt;=Q$1,tb_Cartao_Credito_Detalhado[[#This Row],[Total]]/tb_Cartao_Credito_Detalhado[[#This Row],[Parcelas]],0)</calculatedColumnFormula>
    </tableColumn>
    <tableColumn id="16" name="Mês 8" dataDxfId="94">
      <calculatedColumnFormula>IF(tb_Cartao_Credito_Detalhado[[#This Row],[Parcelas]]&gt;=R$1,tb_Cartao_Credito_Detalhado[[#This Row],[Total]]/tb_Cartao_Credito_Detalhado[[#This Row],[Parcelas]],0)</calculatedColumnFormula>
    </tableColumn>
    <tableColumn id="17" name="Mês 9" dataDxfId="93">
      <calculatedColumnFormula>IF(tb_Cartao_Credito_Detalhado[[#This Row],[Parcelas]]&gt;=S$1,tb_Cartao_Credito_Detalhado[[#This Row],[Total]]/tb_Cartao_Credito_Detalhado[[#This Row],[Parcelas]],0)</calculatedColumnFormula>
    </tableColumn>
    <tableColumn id="18" name="Mês 10" dataDxfId="92">
      <calculatedColumnFormula>IF(tb_Cartao_Credito_Detalhado[[#This Row],[Parcelas]]&gt;=T$1,tb_Cartao_Credito_Detalhado[[#This Row],[Total]]/tb_Cartao_Credito_Detalhado[[#This Row],[Parcelas]],0)</calculatedColumnFormula>
    </tableColumn>
    <tableColumn id="19" name="Mês 11" dataDxfId="91">
      <calculatedColumnFormula>IF(tb_Cartao_Credito_Detalhado[[#This Row],[Parcelas]]&gt;=U$1,tb_Cartao_Credito_Detalhado[[#This Row],[Total]]/tb_Cartao_Credito_Detalhado[[#This Row],[Parcelas]],0)</calculatedColumnFormula>
    </tableColumn>
    <tableColumn id="20" name="Mês 12" dataDxfId="90">
      <calculatedColumnFormula>IF(tb_Cartao_Credito_Detalhado[[#This Row],[Parcelas]]&gt;=V$1,tb_Cartao_Credito_Detalhado[[#This Row],[Total]]/tb_Cartao_Credito_Detalhado[[#This Row],[Parcelas]],0)</calculatedColumnFormula>
    </tableColumn>
    <tableColumn id="21" name="Mês 13" dataDxfId="89">
      <calculatedColumnFormula>IF(tb_Cartao_Credito_Detalhado[[#This Row],[Parcelas]]&gt;=W$1,tb_Cartao_Credito_Detalhado[[#This Row],[Total]]/tb_Cartao_Credito_Detalhado[[#This Row],[Parcelas]],0)</calculatedColumnFormula>
    </tableColumn>
    <tableColumn id="22" name="Mês 14" dataDxfId="88">
      <calculatedColumnFormula>IF(tb_Cartao_Credito_Detalhado[[#This Row],[Parcelas]]&gt;=X$1,tb_Cartao_Credito_Detalhado[[#This Row],[Total]]/tb_Cartao_Credito_Detalhado[[#This Row],[Parcelas]],0)</calculatedColumnFormula>
    </tableColumn>
    <tableColumn id="23" name="Mês 15" dataDxfId="87">
      <calculatedColumnFormula>IF(tb_Cartao_Credito_Detalhado[[#This Row],[Parcelas]]&gt;=Y$1,tb_Cartao_Credito_Detalhado[[#This Row],[Total]]/tb_Cartao_Credito_Detalhado[[#This Row],[Parcelas]],0)</calculatedColumnFormula>
    </tableColumn>
    <tableColumn id="24" name="Mês 16" dataDxfId="86">
      <calculatedColumnFormula>IF(tb_Cartao_Credito_Detalhado[[#This Row],[Parcelas]]&gt;=Z$1,tb_Cartao_Credito_Detalhado[[#This Row],[Total]]/tb_Cartao_Credito_Detalhado[[#This Row],[Parcelas]],0)</calculatedColumnFormula>
    </tableColumn>
    <tableColumn id="25" name="Mês 17" dataDxfId="85">
      <calculatedColumnFormula>IF(tb_Cartao_Credito_Detalhado[[#This Row],[Parcelas]]&gt;=AA$1,tb_Cartao_Credito_Detalhado[[#This Row],[Total]]/tb_Cartao_Credito_Detalhado[[#This Row],[Parcelas]],0)</calculatedColumnFormula>
    </tableColumn>
    <tableColumn id="26" name="Mês 18" dataDxfId="84">
      <calculatedColumnFormula>IF(tb_Cartao_Credito_Detalhado[[#This Row],[Parcelas]]&gt;=AB$1,tb_Cartao_Credito_Detalhado[[#This Row],[Total]]/tb_Cartao_Credito_Detalhado[[#This Row],[Parcelas]],0)</calculatedColumnFormula>
    </tableColumn>
    <tableColumn id="27" name="Mês 19" dataDxfId="83">
      <calculatedColumnFormula>IF(tb_Cartao_Credito_Detalhado[[#This Row],[Parcelas]]&gt;=AC$1,tb_Cartao_Credito_Detalhado[[#This Row],[Total]]/tb_Cartao_Credito_Detalhado[[#This Row],[Parcelas]],0)</calculatedColumnFormula>
    </tableColumn>
    <tableColumn id="28" name="Mês 20" dataDxfId="82">
      <calculatedColumnFormula>IF(tb_Cartao_Credito_Detalhado[[#This Row],[Parcelas]]&gt;=AD$1,tb_Cartao_Credito_Detalhado[[#This Row],[Total]]/tb_Cartao_Credito_Detalhado[[#This Row],[Parcelas]],0)</calculatedColumnFormula>
    </tableColumn>
    <tableColumn id="29" name="Mês 21" dataDxfId="81">
      <calculatedColumnFormula>IF(tb_Cartao_Credito_Detalhado[[#This Row],[Parcelas]]&gt;=AE$1,tb_Cartao_Credito_Detalhado[[#This Row],[Total]]/tb_Cartao_Credito_Detalhado[[#This Row],[Parcelas]],0)</calculatedColumnFormula>
    </tableColumn>
    <tableColumn id="30" name="Mês 22" dataDxfId="80">
      <calculatedColumnFormula>IF(tb_Cartao_Credito_Detalhado[[#This Row],[Parcelas]]&gt;=AF$1,tb_Cartao_Credito_Detalhado[[#This Row],[Total]]/tb_Cartao_Credito_Detalhado[[#This Row],[Parcelas]],0)</calculatedColumnFormula>
    </tableColumn>
    <tableColumn id="31" name="Mês 23" dataDxfId="79">
      <calculatedColumnFormula>IF(tb_Cartao_Credito_Detalhado[[#This Row],[Parcelas]]&gt;=AG$1,tb_Cartao_Credito_Detalhado[[#This Row],[Total]]/tb_Cartao_Credito_Detalhado[[#This Row],[Parcelas]],0)</calculatedColumnFormula>
    </tableColumn>
    <tableColumn id="32" name="Mês 24" dataDxfId="78">
      <calculatedColumnFormula>IF(tb_Cartao_Credito_Detalhado[[#This Row],[Parcelas]]&gt;=AH$1,tb_Cartao_Credito_Detalhado[[#This Row],[Total]]/tb_Cartao_Credito_Detalhado[[#This Row],[Parcelas]],0)</calculatedColumnFormula>
    </tableColumn>
    <tableColumn id="33" name="Mês 25" dataDxfId="77">
      <calculatedColumnFormula>IF(tb_Cartao_Credito_Detalhado[[#This Row],[Parcelas]]&gt;=AI$1,tb_Cartao_Credito_Detalhado[[#This Row],[Total]]/tb_Cartao_Credito_Detalhado[[#This Row],[Parcelas]],0)</calculatedColumnFormula>
    </tableColumn>
    <tableColumn id="34" name="Mês 26" dataDxfId="76">
      <calculatedColumnFormula>IF(tb_Cartao_Credito_Detalhado[[#This Row],[Parcelas]]&gt;=AJ$1,tb_Cartao_Credito_Detalhado[[#This Row],[Total]]/tb_Cartao_Credito_Detalhado[[#This Row],[Parcelas]],0)</calculatedColumnFormula>
    </tableColumn>
    <tableColumn id="35" name="Mês 27" dataDxfId="75">
      <calculatedColumnFormula>IF(tb_Cartao_Credito_Detalhado[[#This Row],[Parcelas]]&gt;=AK$1,tb_Cartao_Credito_Detalhado[[#This Row],[Total]]/tb_Cartao_Credito_Detalhado[[#This Row],[Parcelas]],0)</calculatedColumnFormula>
    </tableColumn>
    <tableColumn id="36" name="Mês 28" dataDxfId="74">
      <calculatedColumnFormula>IF(tb_Cartao_Credito_Detalhado[[#This Row],[Parcelas]]&gt;=AL$1,tb_Cartao_Credito_Detalhado[[#This Row],[Total]]/tb_Cartao_Credito_Detalhado[[#This Row],[Parcelas]],0)</calculatedColumnFormula>
    </tableColumn>
    <tableColumn id="37" name="Mês 29" dataDxfId="73">
      <calculatedColumnFormula>IF(tb_Cartao_Credito_Detalhado[[#This Row],[Parcelas]]&gt;=AM$1,tb_Cartao_Credito_Detalhado[[#This Row],[Total]]/tb_Cartao_Credito_Detalhado[[#This Row],[Parcelas]],0)</calculatedColumnFormula>
    </tableColumn>
    <tableColumn id="38" name="Mês 30" dataDxfId="72">
      <calculatedColumnFormula>IF(tb_Cartao_Credito_Detalhado[[#This Row],[Parcelas]]&gt;=AN$1,tb_Cartao_Credito_Detalhado[[#This Row],[Total]]/tb_Cartao_Credito_Detalhado[[#This Row],[Parcelas]],0)</calculatedColumnFormula>
    </tableColumn>
    <tableColumn id="39" name="Mês 31" dataDxfId="71">
      <calculatedColumnFormula>IF(tb_Cartao_Credito_Detalhado[[#This Row],[Parcelas]]&gt;=AO$1,tb_Cartao_Credito_Detalhado[[#This Row],[Total]]/tb_Cartao_Credito_Detalhado[[#This Row],[Parcelas]],0)</calculatedColumnFormula>
    </tableColumn>
    <tableColumn id="40" name="Mês 32" dataDxfId="70">
      <calculatedColumnFormula>IF(tb_Cartao_Credito_Detalhado[[#This Row],[Parcelas]]&gt;=AP$1,tb_Cartao_Credito_Detalhado[[#This Row],[Total]]/tb_Cartao_Credito_Detalhado[[#This Row],[Parcelas]],0)</calculatedColumnFormula>
    </tableColumn>
    <tableColumn id="41" name="Mês 33" dataDxfId="69">
      <calculatedColumnFormula>IF(tb_Cartao_Credito_Detalhado[[#This Row],[Parcelas]]&gt;=AQ$1,tb_Cartao_Credito_Detalhado[[#This Row],[Total]]/tb_Cartao_Credito_Detalhado[[#This Row],[Parcelas]],0)</calculatedColumnFormula>
    </tableColumn>
    <tableColumn id="42" name="Mês 34" dataDxfId="68">
      <calculatedColumnFormula>IF(tb_Cartao_Credito_Detalhado[[#This Row],[Parcelas]]&gt;=AR$1,tb_Cartao_Credito_Detalhado[[#This Row],[Total]]/tb_Cartao_Credito_Detalhado[[#This Row],[Parcelas]],0)</calculatedColumnFormula>
    </tableColumn>
    <tableColumn id="43" name="Mês 35" dataDxfId="67">
      <calculatedColumnFormula>IF(tb_Cartao_Credito_Detalhado[[#This Row],[Parcelas]]&gt;=AS$1,tb_Cartao_Credito_Detalhado[[#This Row],[Total]]/tb_Cartao_Credito_Detalhado[[#This Row],[Parcelas]],0)</calculatedColumnFormula>
    </tableColumn>
    <tableColumn id="44" name="Mês 36" dataDxfId="66">
      <calculatedColumnFormula>IF(tb_Cartao_Credito_Detalhado[[#This Row],[Parcelas]]&gt;=AT$1,tb_Cartao_Credito_Detalhado[[#This Row],[Total]]/tb_Cartao_Credito_Detalhado[[#This Row],[Parcelas]],0)</calculatedColumnFormula>
    </tableColumn>
    <tableColumn id="45" name="Mês 37" dataDxfId="65">
      <calculatedColumnFormula>IF(tb_Cartao_Credito_Detalhado[[#This Row],[Parcelas]]&gt;=AU$1,tb_Cartao_Credito_Detalhado[[#This Row],[Total]]/tb_Cartao_Credito_Detalhado[[#This Row],[Parcelas]],0)</calculatedColumnFormula>
    </tableColumn>
    <tableColumn id="46" name="Mês 38" dataDxfId="64">
      <calculatedColumnFormula>IF(tb_Cartao_Credito_Detalhado[[#This Row],[Parcelas]]&gt;=AV$1,tb_Cartao_Credito_Detalhado[[#This Row],[Total]]/tb_Cartao_Credito_Detalhado[[#This Row],[Parcelas]],0)</calculatedColumnFormula>
    </tableColumn>
    <tableColumn id="47" name="Mês 39" dataDxfId="63">
      <calculatedColumnFormula>IF(tb_Cartao_Credito_Detalhado[[#This Row],[Parcelas]]&gt;=AW$1,tb_Cartao_Credito_Detalhado[[#This Row],[Total]]/tb_Cartao_Credito_Detalhado[[#This Row],[Parcelas]],0)</calculatedColumnFormula>
    </tableColumn>
    <tableColumn id="48" name="Mês 40" dataDxfId="62">
      <calculatedColumnFormula>IF(tb_Cartao_Credito_Detalhado[[#This Row],[Parcelas]]&gt;=AX$1,tb_Cartao_Credito_Detalhado[[#This Row],[Total]]/tb_Cartao_Credito_Detalhado[[#This Row],[Parcelas]],0)</calculatedColumnFormula>
    </tableColumn>
    <tableColumn id="49" name="Mês 41" dataDxfId="61">
      <calculatedColumnFormula>IF(tb_Cartao_Credito_Detalhado[[#This Row],[Parcelas]]&gt;=AY$1,tb_Cartao_Credito_Detalhado[[#This Row],[Total]]/tb_Cartao_Credito_Detalhado[[#This Row],[Parcelas]],0)</calculatedColumnFormula>
    </tableColumn>
    <tableColumn id="50" name="Mês 42" dataDxfId="60">
      <calculatedColumnFormula>IF(tb_Cartao_Credito_Detalhado[[#This Row],[Parcelas]]&gt;=AZ$1,tb_Cartao_Credito_Detalhado[[#This Row],[Total]]/tb_Cartao_Credito_Detalhado[[#This Row],[Parcelas]],0)</calculatedColumnFormula>
    </tableColumn>
    <tableColumn id="51" name="Mês 43" dataDxfId="59">
      <calculatedColumnFormula>IF(tb_Cartao_Credito_Detalhado[[#This Row],[Parcelas]]&gt;=BA$1,tb_Cartao_Credito_Detalhado[[#This Row],[Total]]/tb_Cartao_Credito_Detalhado[[#This Row],[Parcelas]],0)</calculatedColumnFormula>
    </tableColumn>
    <tableColumn id="52" name="Mês 44" dataDxfId="58">
      <calculatedColumnFormula>IF(tb_Cartao_Credito_Detalhado[[#This Row],[Parcelas]]&gt;=BB$1,tb_Cartao_Credito_Detalhado[[#This Row],[Total]]/tb_Cartao_Credito_Detalhado[[#This Row],[Parcelas]],0)</calculatedColumnFormula>
    </tableColumn>
    <tableColumn id="53" name="Mês 45" dataDxfId="57">
      <calculatedColumnFormula>IF(tb_Cartao_Credito_Detalhado[[#This Row],[Parcelas]]&gt;=BC$1,tb_Cartao_Credito_Detalhado[[#This Row],[Total]]/tb_Cartao_Credito_Detalhado[[#This Row],[Parcelas]],0)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tb_Fluxo_Cartao" displayName="tb_Fluxo_Cartao" ref="B4:AZ5" totalsRowShown="0" headerRowDxfId="53">
  <tableColumns count="51">
    <tableColumn id="14" name="Descrição"/>
    <tableColumn id="13" name="."/>
    <tableColumn id="1" name="jan-2017" dataDxfId="52">
      <calculatedColumnFormula>SUM(
SUMIFS(tb_Cartao_Credito_Detalhado[[Mês 1]:[Mês 1]],tb_Cartao_Credito_Detalhado[Mês/Ano],D$4),
SUMIFS(tb_Cartao_Credito_Detalhado[[Mês 2]:[Mês 2]],tb_Cartao_Credito_Detalhado[Mês/Ano],OFFSET(D$4,0,-1)),
SUMIFS(tb_Cartao_Credito_Detalhado[[Mês 3]:[Mês 3]],tb_Cartao_Credito_Detalhado[Mês/Ano],OFFSET(D$4,0,-2)),
SUMIFS(tb_Cartao_Credito_Detalhado[[Mês 4]:[Mês 4]],tb_Cartao_Credito_Detalhado[Mês/Ano],OFFSET(D$4,0,-3)),
SUMIFS(tb_Cartao_Credito_Detalhado[[Mês 5]:[Mês 5]],tb_Cartao_Credito_Detalhado[Mês/Ano],OFFSET(D$4,0,-4)),
SUMIFS(tb_Cartao_Credito_Detalhado[[Mês 6]:[Mês 6]],tb_Cartao_Credito_Detalhado[Mês/Ano],OFFSET(D$4,0,-5)),
SUMIFS(tb_Cartao_Credito_Detalhado[[Mês 7]:[Mês 7]],tb_Cartao_Credito_Detalhado[Mês/Ano],OFFSET(D$4,0,-6)),
SUMIFS(tb_Cartao_Credito_Detalhado[[Mês 8]:[Mês 8]],tb_Cartao_Credito_Detalhado[Mês/Ano],OFFSET(D$4,0,-7)),
SUMIFS(tb_Cartao_Credito_Detalhado[[Mês 9]:[Mês 9]],tb_Cartao_Credito_Detalhado[Mês/Ano],OFFSET(D$4,0,-8)),
SUMIFS(tb_Cartao_Credito_Detalhado[[Mês 10]:[Mês 10]],tb_Cartao_Credito_Detalhado[Mês/Ano],OFFSET(D$4,0,-9)),
SUMIFS(tb_Cartao_Credito_Detalhado[[Mês 11]:[Mês 11]],tb_Cartao_Credito_Detalhado[Mês/Ano],OFFSET(D$4,0,-10)),
SUMIFS(tb_Cartao_Credito_Detalhado[[Mês 12]:[Mês 12]],tb_Cartao_Credito_Detalhado[Mês/Ano],OFFSET(D$4,0,-11)),
SUMIFS(tb_Cartao_Credito_Detalhado[[Mês 13]:[Mês 13]],tb_Cartao_Credito_Detalhado[Mês/Ano],OFFSET(D$4,0,-12)),
SUMIFS(tb_Cartao_Credito_Detalhado[[Mês 14]:[Mês 14]],tb_Cartao_Credito_Detalhado[Mês/Ano],OFFSET(D$4,0,-13)),
SUMIFS(tb_Cartao_Credito_Detalhado[[Mês 15]:[Mês 15]],tb_Cartao_Credito_Detalhado[Mês/Ano],OFFSET(D$4,0,-14)),
SUMIFS(tb_Cartao_Credito_Detalhado[[Mês 16]:[Mês 16]],tb_Cartao_Credito_Detalhado[Mês/Ano],OFFSET(D$4,0,-15)),
SUMIFS(tb_Cartao_Credito_Detalhado[[Mês 17]:[Mês 17]],tb_Cartao_Credito_Detalhado[Mês/Ano],OFFSET(D$4,0,-16)),
SUMIFS(tb_Cartao_Credito_Detalhado[[Mês 18]:[Mês 18]],tb_Cartao_Credito_Detalhado[Mês/Ano],OFFSET(D$4,0,-17)),
SUMIFS(tb_Cartao_Credito_Detalhado[[Mês 19]:[Mês 19]],tb_Cartao_Credito_Detalhado[Mês/Ano],OFFSET(D$4,0,-18)),
SUMIFS(tb_Cartao_Credito_Detalhado[[Mês 20]:[Mês 20]],tb_Cartao_Credito_Detalhado[Mês/Ano],OFFSET(D$4,0,-19)),
SUMIFS(tb_Cartao_Credito_Detalhado[[Mês 21]:[Mês 21]],tb_Cartao_Credito_Detalhado[Mês/Ano],OFFSET(D$4,0,-20)),
SUMIFS(tb_Cartao_Credito_Detalhado[[Mês 22]:[Mês 22]],tb_Cartao_Credito_Detalhado[Mês/Ano],OFFSET(D$4,0,-21)),
SUMIFS(tb_Cartao_Credito_Detalhado[[Mês 23]:[Mês 23]],tb_Cartao_Credito_Detalhado[Mês/Ano],OFFSET(D$4,0,-22)),
SUMIFS(tb_Cartao_Credito_Detalhado[[Mês 24]:[Mês 24]],tb_Cartao_Credito_Detalhado[Mês/Ano],OFFSET(D$4,0,-23)),
SUMIFS(tb_Cartao_Credito_Detalhado[[Mês 25]:[Mês 25]],tb_Cartao_Credito_Detalhado[Mês/Ano],OFFSET(D$4,0,-24)),
SUMIFS(tb_Cartao_Credito_Detalhado[[Mês 26]:[Mês 26]],tb_Cartao_Credito_Detalhado[Mês/Ano],OFFSET(D$4,0,-25)),
SUMIFS(tb_Cartao_Credito_Detalhado[[Mês 27]:[Mês 27]],tb_Cartao_Credito_Detalhado[Mês/Ano],OFFSET(D$4,0,-26)),
SUMIFS(tb_Cartao_Credito_Detalhado[[Mês 28]:[Mês 28]],tb_Cartao_Credito_Detalhado[Mês/Ano],OFFSET(D$4,0,-27)),
SUMIFS(tb_Cartao_Credito_Detalhado[[Mês 29]:[Mês 29]],tb_Cartao_Credito_Detalhado[Mês/Ano],OFFSET(D$4,0,-28)),
SUMIFS(tb_Cartao_Credito_Detalhado[[Mês 30]:[Mês 30]],tb_Cartao_Credito_Detalhado[Mês/Ano],OFFSET(D$4,0,-29)),
SUMIFS(tb_Cartao_Credito_Detalhado[[Mês 31]:[Mês 31]],tb_Cartao_Credito_Detalhado[Mês/Ano],OFFSET(D$4,0,-30)),
SUMIFS(tb_Cartao_Credito_Detalhado[[Mês 32]:[Mês 32]],tb_Cartao_Credito_Detalhado[Mês/Ano],OFFSET(D$4,0,-31)),
SUMIFS(tb_Cartao_Credito_Detalhado[[Mês 33]:[Mês 33]],tb_Cartao_Credito_Detalhado[Mês/Ano],OFFSET(D$4,0,-32)),
SUMIFS(tb_Cartao_Credito_Detalhado[[Mês 34]:[Mês 34]],tb_Cartao_Credito_Detalhado[Mês/Ano],OFFSET(D$4,0,-33)),
SUMIFS(tb_Cartao_Credito_Detalhado[[Mês 35]:[Mês 35]],tb_Cartao_Credito_Detalhado[Mês/Ano],OFFSET(D$4,0,-34)),
SUMIFS(tb_Cartao_Credito_Detalhado[[Mês 36]:[Mês 36]],tb_Cartao_Credito_Detalhado[Mês/Ano],OFFSET(D$4,0,-35)),
SUMIFS(tb_Cartao_Credito_Detalhado[[Mês 37]:[Mês 37]],tb_Cartao_Credito_Detalhado[Mês/Ano],OFFSET(D$4,0,-36)),
SUMIFS(tb_Cartao_Credito_Detalhado[[Mês 38]:[Mês 38]],tb_Cartao_Credito_Detalhado[Mês/Ano],OFFSET(D$4,0,-37)),
SUMIFS(tb_Cartao_Credito_Detalhado[[Mês 39]:[Mês 39]],tb_Cartao_Credito_Detalhado[Mês/Ano],OFFSET(D$4,0,-38)),
SUMIFS(tb_Cartao_Credito_Detalhado[[Mês 40]:[Mês 40]],tb_Cartao_Credito_Detalhado[Mês/Ano],OFFSET(D$4,0,-39)),
SUMIFS(tb_Cartao_Credito_Detalhado[[Mês 41]:[Mês 41]],tb_Cartao_Credito_Detalhado[Mês/Ano],OFFSET(D$4,0,-40)),
SUMIFS(tb_Cartao_Credito_Detalhado[[Mês 42]:[Mês 42]],tb_Cartao_Credito_Detalhado[Mês/Ano],OFFSET(D$4,0,-41)),
SUMIFS(tb_Cartao_Credito_Detalhado[[Mês 43]:[Mês 43]],tb_Cartao_Credito_Detalhado[Mês/Ano],OFFSET(D$4,0,-42)),
SUMIFS(tb_Cartao_Credito_Detalhado[[Mês 44]:[Mês 44]],tb_Cartao_Credito_Detalhado[Mês/Ano],OFFSET(D$4,0,-43)),
SUMIFS(tb_Cartao_Credito_Detalhado[[Mês 45]:[Mês 45]],tb_Cartao_Credito_Detalhado[Mês/Ano],OFFSET(D$4,0,-44)),
)</calculatedColumnFormula>
    </tableColumn>
    <tableColumn id="2" name="fev-2017" dataDxfId="51">
      <calculatedColumnFormula>SUM(
SUMIFS(tb_Cartao_Credito_Detalhado[[Mês 1]:[Mês 1]],tb_Cartao_Credito_Detalhado[Mês/Ano],E$4),
SUMIFS(tb_Cartao_Credito_Detalhado[[Mês 2]:[Mês 2]],tb_Cartao_Credito_Detalhado[Mês/Ano],OFFSET(E$4,0,-1)),
SUMIFS(tb_Cartao_Credito_Detalhado[[Mês 3]:[Mês 3]],tb_Cartao_Credito_Detalhado[Mês/Ano],OFFSET(E$4,0,-2)),
SUMIFS(tb_Cartao_Credito_Detalhado[[Mês 4]:[Mês 4]],tb_Cartao_Credito_Detalhado[Mês/Ano],OFFSET(E$4,0,-3)),
SUMIFS(tb_Cartao_Credito_Detalhado[[Mês 5]:[Mês 5]],tb_Cartao_Credito_Detalhado[Mês/Ano],OFFSET(E$4,0,-4)),
SUMIFS(tb_Cartao_Credito_Detalhado[[Mês 6]:[Mês 6]],tb_Cartao_Credito_Detalhado[Mês/Ano],OFFSET(E$4,0,-5)),
SUMIFS(tb_Cartao_Credito_Detalhado[[Mês 7]:[Mês 7]],tb_Cartao_Credito_Detalhado[Mês/Ano],OFFSET(E$4,0,-6)),
SUMIFS(tb_Cartao_Credito_Detalhado[[Mês 8]:[Mês 8]],tb_Cartao_Credito_Detalhado[Mês/Ano],OFFSET(E$4,0,-7)),
SUMIFS(tb_Cartao_Credito_Detalhado[[Mês 9]:[Mês 9]],tb_Cartao_Credito_Detalhado[Mês/Ano],OFFSET(E$4,0,-8)),
SUMIFS(tb_Cartao_Credito_Detalhado[[Mês 10]:[Mês 10]],tb_Cartao_Credito_Detalhado[Mês/Ano],OFFSET(E$4,0,-9)),
SUMIFS(tb_Cartao_Credito_Detalhado[[Mês 11]:[Mês 11]],tb_Cartao_Credito_Detalhado[Mês/Ano],OFFSET(E$4,0,-10)),
SUMIFS(tb_Cartao_Credito_Detalhado[[Mês 12]:[Mês 12]],tb_Cartao_Credito_Detalhado[Mês/Ano],OFFSET(E$4,0,-11)),
SUMIFS(tb_Cartao_Credito_Detalhado[[Mês 13]:[Mês 13]],tb_Cartao_Credito_Detalhado[Mês/Ano],OFFSET(E$4,0,-12)),
SUMIFS(tb_Cartao_Credito_Detalhado[[Mês 14]:[Mês 14]],tb_Cartao_Credito_Detalhado[Mês/Ano],OFFSET(E$4,0,-13)),
SUMIFS(tb_Cartao_Credito_Detalhado[[Mês 15]:[Mês 15]],tb_Cartao_Credito_Detalhado[Mês/Ano],OFFSET(E$4,0,-14)),
SUMIFS(tb_Cartao_Credito_Detalhado[[Mês 16]:[Mês 16]],tb_Cartao_Credito_Detalhado[Mês/Ano],OFFSET(E$4,0,-15)),
SUMIFS(tb_Cartao_Credito_Detalhado[[Mês 17]:[Mês 17]],tb_Cartao_Credito_Detalhado[Mês/Ano],OFFSET(E$4,0,-16)),
SUMIFS(tb_Cartao_Credito_Detalhado[[Mês 18]:[Mês 18]],tb_Cartao_Credito_Detalhado[Mês/Ano],OFFSET(E$4,0,-17)),
SUMIFS(tb_Cartao_Credito_Detalhado[[Mês 19]:[Mês 19]],tb_Cartao_Credito_Detalhado[Mês/Ano],OFFSET(E$4,0,-18)),
SUMIFS(tb_Cartao_Credito_Detalhado[[Mês 20]:[Mês 20]],tb_Cartao_Credito_Detalhado[Mês/Ano],OFFSET(E$4,0,-19)),
SUMIFS(tb_Cartao_Credito_Detalhado[[Mês 21]:[Mês 21]],tb_Cartao_Credito_Detalhado[Mês/Ano],OFFSET(E$4,0,-20)),
SUMIFS(tb_Cartao_Credito_Detalhado[[Mês 22]:[Mês 22]],tb_Cartao_Credito_Detalhado[Mês/Ano],OFFSET(E$4,0,-21)),
SUMIFS(tb_Cartao_Credito_Detalhado[[Mês 23]:[Mês 23]],tb_Cartao_Credito_Detalhado[Mês/Ano],OFFSET(E$4,0,-22)),
SUMIFS(tb_Cartao_Credito_Detalhado[[Mês 24]:[Mês 24]],tb_Cartao_Credito_Detalhado[Mês/Ano],OFFSET(E$4,0,-23)),
SUMIFS(tb_Cartao_Credito_Detalhado[[Mês 25]:[Mês 25]],tb_Cartao_Credito_Detalhado[Mês/Ano],OFFSET(E$4,0,-24)),
SUMIFS(tb_Cartao_Credito_Detalhado[[Mês 26]:[Mês 26]],tb_Cartao_Credito_Detalhado[Mês/Ano],OFFSET(E$4,0,-25)),
SUMIFS(tb_Cartao_Credito_Detalhado[[Mês 27]:[Mês 27]],tb_Cartao_Credito_Detalhado[Mês/Ano],OFFSET(E$4,0,-26)),
SUMIFS(tb_Cartao_Credito_Detalhado[[Mês 28]:[Mês 28]],tb_Cartao_Credito_Detalhado[Mês/Ano],OFFSET(E$4,0,-27)),
SUMIFS(tb_Cartao_Credito_Detalhado[[Mês 29]:[Mês 29]],tb_Cartao_Credito_Detalhado[Mês/Ano],OFFSET(E$4,0,-28)),
SUMIFS(tb_Cartao_Credito_Detalhado[[Mês 30]:[Mês 30]],tb_Cartao_Credito_Detalhado[Mês/Ano],OFFSET(E$4,0,-29)),
SUMIFS(tb_Cartao_Credito_Detalhado[[Mês 31]:[Mês 31]],tb_Cartao_Credito_Detalhado[Mês/Ano],OFFSET(E$4,0,-30)),
SUMIFS(tb_Cartao_Credito_Detalhado[[Mês 32]:[Mês 32]],tb_Cartao_Credito_Detalhado[Mês/Ano],OFFSET(E$4,0,-31)),
SUMIFS(tb_Cartao_Credito_Detalhado[[Mês 33]:[Mês 33]],tb_Cartao_Credito_Detalhado[Mês/Ano],OFFSET(E$4,0,-32)),
SUMIFS(tb_Cartao_Credito_Detalhado[[Mês 34]:[Mês 34]],tb_Cartao_Credito_Detalhado[Mês/Ano],OFFSET(E$4,0,-33)),
SUMIFS(tb_Cartao_Credito_Detalhado[[Mês 35]:[Mês 35]],tb_Cartao_Credito_Detalhado[Mês/Ano],OFFSET(E$4,0,-34)),
SUMIFS(tb_Cartao_Credito_Detalhado[[Mês 36]:[Mês 36]],tb_Cartao_Credito_Detalhado[Mês/Ano],OFFSET(E$4,0,-35)),
SUMIFS(tb_Cartao_Credito_Detalhado[[Mês 37]:[Mês 37]],tb_Cartao_Credito_Detalhado[Mês/Ano],OFFSET(E$4,0,-36)),
SUMIFS(tb_Cartao_Credito_Detalhado[[Mês 38]:[Mês 38]],tb_Cartao_Credito_Detalhado[Mês/Ano],OFFSET(E$4,0,-37)),
SUMIFS(tb_Cartao_Credito_Detalhado[[Mês 39]:[Mês 39]],tb_Cartao_Credito_Detalhado[Mês/Ano],OFFSET(E$4,0,-38)),
SUMIFS(tb_Cartao_Credito_Detalhado[[Mês 40]:[Mês 40]],tb_Cartao_Credito_Detalhado[Mês/Ano],OFFSET(E$4,0,-39)),
SUMIFS(tb_Cartao_Credito_Detalhado[[Mês 41]:[Mês 41]],tb_Cartao_Credito_Detalhado[Mês/Ano],OFFSET(E$4,0,-40)),
SUMIFS(tb_Cartao_Credito_Detalhado[[Mês 42]:[Mês 42]],tb_Cartao_Credito_Detalhado[Mês/Ano],OFFSET(E$4,0,-41)),
SUMIFS(tb_Cartao_Credito_Detalhado[[Mês 43]:[Mês 43]],tb_Cartao_Credito_Detalhado[Mês/Ano],OFFSET(E$4,0,-42)),
SUMIFS(tb_Cartao_Credito_Detalhado[[Mês 44]:[Mês 44]],tb_Cartao_Credito_Detalhado[Mês/Ano],OFFSET(E$4,0,-43)),
SUMIFS(tb_Cartao_Credito_Detalhado[[Mês 45]:[Mês 45]],tb_Cartao_Credito_Detalhado[Mês/Ano],OFFSET(E$4,0,-44)),
)</calculatedColumnFormula>
    </tableColumn>
    <tableColumn id="3" name="mar-2017" dataDxfId="50">
      <calculatedColumnFormula>SUM(
SUMIFS(tb_Cartao_Credito_Detalhado[[Mês 1]:[Mês 1]],tb_Cartao_Credito_Detalhado[Mês/Ano],F$4),
SUMIFS(tb_Cartao_Credito_Detalhado[[Mês 2]:[Mês 2]],tb_Cartao_Credito_Detalhado[Mês/Ano],OFFSET(F$4,0,-1)),
SUMIFS(tb_Cartao_Credito_Detalhado[[Mês 3]:[Mês 3]],tb_Cartao_Credito_Detalhado[Mês/Ano],OFFSET(F$4,0,-2)),
SUMIFS(tb_Cartao_Credito_Detalhado[[Mês 4]:[Mês 4]],tb_Cartao_Credito_Detalhado[Mês/Ano],OFFSET(F$4,0,-3)),
SUMIFS(tb_Cartao_Credito_Detalhado[[Mês 5]:[Mês 5]],tb_Cartao_Credito_Detalhado[Mês/Ano],OFFSET(F$4,0,-4)),
SUMIFS(tb_Cartao_Credito_Detalhado[[Mês 6]:[Mês 6]],tb_Cartao_Credito_Detalhado[Mês/Ano],OFFSET(F$4,0,-5)),
SUMIFS(tb_Cartao_Credito_Detalhado[[Mês 7]:[Mês 7]],tb_Cartao_Credito_Detalhado[Mês/Ano],OFFSET(F$4,0,-6)),
SUMIFS(tb_Cartao_Credito_Detalhado[[Mês 8]:[Mês 8]],tb_Cartao_Credito_Detalhado[Mês/Ano],OFFSET(F$4,0,-7)),
SUMIFS(tb_Cartao_Credito_Detalhado[[Mês 9]:[Mês 9]],tb_Cartao_Credito_Detalhado[Mês/Ano],OFFSET(F$4,0,-8)),
SUMIFS(tb_Cartao_Credito_Detalhado[[Mês 10]:[Mês 10]],tb_Cartao_Credito_Detalhado[Mês/Ano],OFFSET(F$4,0,-9)),
SUMIFS(tb_Cartao_Credito_Detalhado[[Mês 11]:[Mês 11]],tb_Cartao_Credito_Detalhado[Mês/Ano],OFFSET(F$4,0,-10)),
SUMIFS(tb_Cartao_Credito_Detalhado[[Mês 12]:[Mês 12]],tb_Cartao_Credito_Detalhado[Mês/Ano],OFFSET(F$4,0,-11)),
SUMIFS(tb_Cartao_Credito_Detalhado[[Mês 13]:[Mês 13]],tb_Cartao_Credito_Detalhado[Mês/Ano],OFFSET(F$4,0,-12)),
SUMIFS(tb_Cartao_Credito_Detalhado[[Mês 14]:[Mês 14]],tb_Cartao_Credito_Detalhado[Mês/Ano],OFFSET(F$4,0,-13)),
SUMIFS(tb_Cartao_Credito_Detalhado[[Mês 15]:[Mês 15]],tb_Cartao_Credito_Detalhado[Mês/Ano],OFFSET(F$4,0,-14)),
SUMIFS(tb_Cartao_Credito_Detalhado[[Mês 16]:[Mês 16]],tb_Cartao_Credito_Detalhado[Mês/Ano],OFFSET(F$4,0,-15)),
SUMIFS(tb_Cartao_Credito_Detalhado[[Mês 17]:[Mês 17]],tb_Cartao_Credito_Detalhado[Mês/Ano],OFFSET(F$4,0,-16)),
SUMIFS(tb_Cartao_Credito_Detalhado[[Mês 18]:[Mês 18]],tb_Cartao_Credito_Detalhado[Mês/Ano],OFFSET(F$4,0,-17)),
SUMIFS(tb_Cartao_Credito_Detalhado[[Mês 19]:[Mês 19]],tb_Cartao_Credito_Detalhado[Mês/Ano],OFFSET(F$4,0,-18)),
SUMIFS(tb_Cartao_Credito_Detalhado[[Mês 20]:[Mês 20]],tb_Cartao_Credito_Detalhado[Mês/Ano],OFFSET(F$4,0,-19)),
SUMIFS(tb_Cartao_Credito_Detalhado[[Mês 21]:[Mês 21]],tb_Cartao_Credito_Detalhado[Mês/Ano],OFFSET(F$4,0,-20)),
SUMIFS(tb_Cartao_Credito_Detalhado[[Mês 22]:[Mês 22]],tb_Cartao_Credito_Detalhado[Mês/Ano],OFFSET(F$4,0,-21)),
SUMIFS(tb_Cartao_Credito_Detalhado[[Mês 23]:[Mês 23]],tb_Cartao_Credito_Detalhado[Mês/Ano],OFFSET(F$4,0,-22)),
SUMIFS(tb_Cartao_Credito_Detalhado[[Mês 24]:[Mês 24]],tb_Cartao_Credito_Detalhado[Mês/Ano],OFFSET(F$4,0,-23)),
SUMIFS(tb_Cartao_Credito_Detalhado[[Mês 25]:[Mês 25]],tb_Cartao_Credito_Detalhado[Mês/Ano],OFFSET(F$4,0,-24)),
SUMIFS(tb_Cartao_Credito_Detalhado[[Mês 26]:[Mês 26]],tb_Cartao_Credito_Detalhado[Mês/Ano],OFFSET(F$4,0,-25)),
SUMIFS(tb_Cartao_Credito_Detalhado[[Mês 27]:[Mês 27]],tb_Cartao_Credito_Detalhado[Mês/Ano],OFFSET(F$4,0,-26)),
SUMIFS(tb_Cartao_Credito_Detalhado[[Mês 28]:[Mês 28]],tb_Cartao_Credito_Detalhado[Mês/Ano],OFFSET(F$4,0,-27)),
SUMIFS(tb_Cartao_Credito_Detalhado[[Mês 29]:[Mês 29]],tb_Cartao_Credito_Detalhado[Mês/Ano],OFFSET(F$4,0,-28)),
SUMIFS(tb_Cartao_Credito_Detalhado[[Mês 30]:[Mês 30]],tb_Cartao_Credito_Detalhado[Mês/Ano],OFFSET(F$4,0,-29)),
SUMIFS(tb_Cartao_Credito_Detalhado[[Mês 31]:[Mês 31]],tb_Cartao_Credito_Detalhado[Mês/Ano],OFFSET(F$4,0,-30)),
SUMIFS(tb_Cartao_Credito_Detalhado[[Mês 32]:[Mês 32]],tb_Cartao_Credito_Detalhado[Mês/Ano],OFFSET(F$4,0,-31)),
SUMIFS(tb_Cartao_Credito_Detalhado[[Mês 33]:[Mês 33]],tb_Cartao_Credito_Detalhado[Mês/Ano],OFFSET(F$4,0,-32)),
SUMIFS(tb_Cartao_Credito_Detalhado[[Mês 34]:[Mês 34]],tb_Cartao_Credito_Detalhado[Mês/Ano],OFFSET(F$4,0,-33)),
SUMIFS(tb_Cartao_Credito_Detalhado[[Mês 35]:[Mês 35]],tb_Cartao_Credito_Detalhado[Mês/Ano],OFFSET(F$4,0,-34)),
SUMIFS(tb_Cartao_Credito_Detalhado[[Mês 36]:[Mês 36]],tb_Cartao_Credito_Detalhado[Mês/Ano],OFFSET(F$4,0,-35)),
SUMIFS(tb_Cartao_Credito_Detalhado[[Mês 37]:[Mês 37]],tb_Cartao_Credito_Detalhado[Mês/Ano],OFFSET(F$4,0,-36)),
SUMIFS(tb_Cartao_Credito_Detalhado[[Mês 38]:[Mês 38]],tb_Cartao_Credito_Detalhado[Mês/Ano],OFFSET(F$4,0,-37)),
SUMIFS(tb_Cartao_Credito_Detalhado[[Mês 39]:[Mês 39]],tb_Cartao_Credito_Detalhado[Mês/Ano],OFFSET(F$4,0,-38)),
SUMIFS(tb_Cartao_Credito_Detalhado[[Mês 40]:[Mês 40]],tb_Cartao_Credito_Detalhado[Mês/Ano],OFFSET(F$4,0,-39)),
SUMIFS(tb_Cartao_Credito_Detalhado[[Mês 41]:[Mês 41]],tb_Cartao_Credito_Detalhado[Mês/Ano],OFFSET(F$4,0,-40)),
SUMIFS(tb_Cartao_Credito_Detalhado[[Mês 42]:[Mês 42]],tb_Cartao_Credito_Detalhado[Mês/Ano],OFFSET(F$4,0,-41)),
SUMIFS(tb_Cartao_Credito_Detalhado[[Mês 43]:[Mês 43]],tb_Cartao_Credito_Detalhado[Mês/Ano],OFFSET(F$4,0,-42)),
SUMIFS(tb_Cartao_Credito_Detalhado[[Mês 44]:[Mês 44]],tb_Cartao_Credito_Detalhado[Mês/Ano],OFFSET(F$4,0,-43)),
SUMIFS(tb_Cartao_Credito_Detalhado[[Mês 45]:[Mês 45]],tb_Cartao_Credito_Detalhado[Mês/Ano],OFFSET(F$4,0,-44)),
)</calculatedColumnFormula>
    </tableColumn>
    <tableColumn id="4" name="abr-2017" dataDxfId="49">
      <calculatedColumnFormula>SUM(
SUMIFS(tb_Cartao_Credito_Detalhado[[Mês 1]:[Mês 1]],tb_Cartao_Credito_Detalhado[Mês/Ano],G$4),
SUMIFS(tb_Cartao_Credito_Detalhado[[Mês 2]:[Mês 2]],tb_Cartao_Credito_Detalhado[Mês/Ano],OFFSET(G$4,0,-1)),
SUMIFS(tb_Cartao_Credito_Detalhado[[Mês 3]:[Mês 3]],tb_Cartao_Credito_Detalhado[Mês/Ano],OFFSET(G$4,0,-2)),
SUMIFS(tb_Cartao_Credito_Detalhado[[Mês 4]:[Mês 4]],tb_Cartao_Credito_Detalhado[Mês/Ano],OFFSET(G$4,0,-3)),
SUMIFS(tb_Cartao_Credito_Detalhado[[Mês 5]:[Mês 5]],tb_Cartao_Credito_Detalhado[Mês/Ano],OFFSET(G$4,0,-4)),
SUMIFS(tb_Cartao_Credito_Detalhado[[Mês 6]:[Mês 6]],tb_Cartao_Credito_Detalhado[Mês/Ano],OFFSET(G$4,0,-5)),
SUMIFS(tb_Cartao_Credito_Detalhado[[Mês 7]:[Mês 7]],tb_Cartao_Credito_Detalhado[Mês/Ano],OFFSET(G$4,0,-6)),
SUMIFS(tb_Cartao_Credito_Detalhado[[Mês 8]:[Mês 8]],tb_Cartao_Credito_Detalhado[Mês/Ano],OFFSET(G$4,0,-7)),
SUMIFS(tb_Cartao_Credito_Detalhado[[Mês 9]:[Mês 9]],tb_Cartao_Credito_Detalhado[Mês/Ano],OFFSET(G$4,0,-8)),
SUMIFS(tb_Cartao_Credito_Detalhado[[Mês 10]:[Mês 10]],tb_Cartao_Credito_Detalhado[Mês/Ano],OFFSET(G$4,0,-9)),
SUMIFS(tb_Cartao_Credito_Detalhado[[Mês 11]:[Mês 11]],tb_Cartao_Credito_Detalhado[Mês/Ano],OFFSET(G$4,0,-10)),
SUMIFS(tb_Cartao_Credito_Detalhado[[Mês 12]:[Mês 12]],tb_Cartao_Credito_Detalhado[Mês/Ano],OFFSET(G$4,0,-11)),
SUMIFS(tb_Cartao_Credito_Detalhado[[Mês 13]:[Mês 13]],tb_Cartao_Credito_Detalhado[Mês/Ano],OFFSET(G$4,0,-12)),
SUMIFS(tb_Cartao_Credito_Detalhado[[Mês 14]:[Mês 14]],tb_Cartao_Credito_Detalhado[Mês/Ano],OFFSET(G$4,0,-13)),
SUMIFS(tb_Cartao_Credito_Detalhado[[Mês 15]:[Mês 15]],tb_Cartao_Credito_Detalhado[Mês/Ano],OFFSET(G$4,0,-14)),
SUMIFS(tb_Cartao_Credito_Detalhado[[Mês 16]:[Mês 16]],tb_Cartao_Credito_Detalhado[Mês/Ano],OFFSET(G$4,0,-15)),
SUMIFS(tb_Cartao_Credito_Detalhado[[Mês 17]:[Mês 17]],tb_Cartao_Credito_Detalhado[Mês/Ano],OFFSET(G$4,0,-16)),
SUMIFS(tb_Cartao_Credito_Detalhado[[Mês 18]:[Mês 18]],tb_Cartao_Credito_Detalhado[Mês/Ano],OFFSET(G$4,0,-17)),
SUMIFS(tb_Cartao_Credito_Detalhado[[Mês 19]:[Mês 19]],tb_Cartao_Credito_Detalhado[Mês/Ano],OFFSET(G$4,0,-18)),
SUMIFS(tb_Cartao_Credito_Detalhado[[Mês 20]:[Mês 20]],tb_Cartao_Credito_Detalhado[Mês/Ano],OFFSET(G$4,0,-19)),
SUMIFS(tb_Cartao_Credito_Detalhado[[Mês 21]:[Mês 21]],tb_Cartao_Credito_Detalhado[Mês/Ano],OFFSET(G$4,0,-20)),
SUMIFS(tb_Cartao_Credito_Detalhado[[Mês 22]:[Mês 22]],tb_Cartao_Credito_Detalhado[Mês/Ano],OFFSET(G$4,0,-21)),
SUMIFS(tb_Cartao_Credito_Detalhado[[Mês 23]:[Mês 23]],tb_Cartao_Credito_Detalhado[Mês/Ano],OFFSET(G$4,0,-22)),
SUMIFS(tb_Cartao_Credito_Detalhado[[Mês 24]:[Mês 24]],tb_Cartao_Credito_Detalhado[Mês/Ano],OFFSET(G$4,0,-23)),
SUMIFS(tb_Cartao_Credito_Detalhado[[Mês 25]:[Mês 25]],tb_Cartao_Credito_Detalhado[Mês/Ano],OFFSET(G$4,0,-24)),
SUMIFS(tb_Cartao_Credito_Detalhado[[Mês 26]:[Mês 26]],tb_Cartao_Credito_Detalhado[Mês/Ano],OFFSET(G$4,0,-25)),
SUMIFS(tb_Cartao_Credito_Detalhado[[Mês 27]:[Mês 27]],tb_Cartao_Credito_Detalhado[Mês/Ano],OFFSET(G$4,0,-26)),
SUMIFS(tb_Cartao_Credito_Detalhado[[Mês 28]:[Mês 28]],tb_Cartao_Credito_Detalhado[Mês/Ano],OFFSET(G$4,0,-27)),
SUMIFS(tb_Cartao_Credito_Detalhado[[Mês 29]:[Mês 29]],tb_Cartao_Credito_Detalhado[Mês/Ano],OFFSET(G$4,0,-28)),
SUMIFS(tb_Cartao_Credito_Detalhado[[Mês 30]:[Mês 30]],tb_Cartao_Credito_Detalhado[Mês/Ano],OFFSET(G$4,0,-29)),
SUMIFS(tb_Cartao_Credito_Detalhado[[Mês 31]:[Mês 31]],tb_Cartao_Credito_Detalhado[Mês/Ano],OFFSET(G$4,0,-30)),
SUMIFS(tb_Cartao_Credito_Detalhado[[Mês 32]:[Mês 32]],tb_Cartao_Credito_Detalhado[Mês/Ano],OFFSET(G$4,0,-31)),
SUMIFS(tb_Cartao_Credito_Detalhado[[Mês 33]:[Mês 33]],tb_Cartao_Credito_Detalhado[Mês/Ano],OFFSET(G$4,0,-32)),
SUMIFS(tb_Cartao_Credito_Detalhado[[Mês 34]:[Mês 34]],tb_Cartao_Credito_Detalhado[Mês/Ano],OFFSET(G$4,0,-33)),
SUMIFS(tb_Cartao_Credito_Detalhado[[Mês 35]:[Mês 35]],tb_Cartao_Credito_Detalhado[Mês/Ano],OFFSET(G$4,0,-34)),
SUMIFS(tb_Cartao_Credito_Detalhado[[Mês 36]:[Mês 36]],tb_Cartao_Credito_Detalhado[Mês/Ano],OFFSET(G$4,0,-35)),
SUMIFS(tb_Cartao_Credito_Detalhado[[Mês 37]:[Mês 37]],tb_Cartao_Credito_Detalhado[Mês/Ano],OFFSET(G$4,0,-36)),
SUMIFS(tb_Cartao_Credito_Detalhado[[Mês 38]:[Mês 38]],tb_Cartao_Credito_Detalhado[Mês/Ano],OFFSET(G$4,0,-37)),
SUMIFS(tb_Cartao_Credito_Detalhado[[Mês 39]:[Mês 39]],tb_Cartao_Credito_Detalhado[Mês/Ano],OFFSET(G$4,0,-38)),
SUMIFS(tb_Cartao_Credito_Detalhado[[Mês 40]:[Mês 40]],tb_Cartao_Credito_Detalhado[Mês/Ano],OFFSET(G$4,0,-39)),
SUMIFS(tb_Cartao_Credito_Detalhado[[Mês 41]:[Mês 41]],tb_Cartao_Credito_Detalhado[Mês/Ano],OFFSET(G$4,0,-40)),
SUMIFS(tb_Cartao_Credito_Detalhado[[Mês 42]:[Mês 42]],tb_Cartao_Credito_Detalhado[Mês/Ano],OFFSET(G$4,0,-41)),
SUMIFS(tb_Cartao_Credito_Detalhado[[Mês 43]:[Mês 43]],tb_Cartao_Credito_Detalhado[Mês/Ano],OFFSET(G$4,0,-42)),
SUMIFS(tb_Cartao_Credito_Detalhado[[Mês 44]:[Mês 44]],tb_Cartao_Credito_Detalhado[Mês/Ano],OFFSET(G$4,0,-43)),
SUMIFS(tb_Cartao_Credito_Detalhado[[Mês 45]:[Mês 45]],tb_Cartao_Credito_Detalhado[Mês/Ano],OFFSET(G$4,0,-44)),
)</calculatedColumnFormula>
    </tableColumn>
    <tableColumn id="5" name="mai-2017" dataDxfId="48">
      <calculatedColumnFormula>SUM(
SUMIFS(tb_Cartao_Credito_Detalhado[[Mês 1]:[Mês 1]],tb_Cartao_Credito_Detalhado[Mês/Ano],H$4),
SUMIFS(tb_Cartao_Credito_Detalhado[[Mês 2]:[Mês 2]],tb_Cartao_Credito_Detalhado[Mês/Ano],OFFSET(H$4,0,-1)),
SUMIFS(tb_Cartao_Credito_Detalhado[[Mês 3]:[Mês 3]],tb_Cartao_Credito_Detalhado[Mês/Ano],OFFSET(H$4,0,-2)),
SUMIFS(tb_Cartao_Credito_Detalhado[[Mês 4]:[Mês 4]],tb_Cartao_Credito_Detalhado[Mês/Ano],OFFSET(H$4,0,-3)),
SUMIFS(tb_Cartao_Credito_Detalhado[[Mês 5]:[Mês 5]],tb_Cartao_Credito_Detalhado[Mês/Ano],OFFSET(H$4,0,-4)),
SUMIFS(tb_Cartao_Credito_Detalhado[[Mês 6]:[Mês 6]],tb_Cartao_Credito_Detalhado[Mês/Ano],OFFSET(H$4,0,-5)),
SUMIFS(tb_Cartao_Credito_Detalhado[[Mês 7]:[Mês 7]],tb_Cartao_Credito_Detalhado[Mês/Ano],OFFSET(H$4,0,-6)),
SUMIFS(tb_Cartao_Credito_Detalhado[[Mês 8]:[Mês 8]],tb_Cartao_Credito_Detalhado[Mês/Ano],OFFSET(H$4,0,-7)),
SUMIFS(tb_Cartao_Credito_Detalhado[[Mês 9]:[Mês 9]],tb_Cartao_Credito_Detalhado[Mês/Ano],OFFSET(H$4,0,-8)),
SUMIFS(tb_Cartao_Credito_Detalhado[[Mês 10]:[Mês 10]],tb_Cartao_Credito_Detalhado[Mês/Ano],OFFSET(H$4,0,-9)),
SUMIFS(tb_Cartao_Credito_Detalhado[[Mês 11]:[Mês 11]],tb_Cartao_Credito_Detalhado[Mês/Ano],OFFSET(H$4,0,-10)),
SUMIFS(tb_Cartao_Credito_Detalhado[[Mês 12]:[Mês 12]],tb_Cartao_Credito_Detalhado[Mês/Ano],OFFSET(H$4,0,-11)),
SUMIFS(tb_Cartao_Credito_Detalhado[[Mês 13]:[Mês 13]],tb_Cartao_Credito_Detalhado[Mês/Ano],OFFSET(H$4,0,-12)),
SUMIFS(tb_Cartao_Credito_Detalhado[[Mês 14]:[Mês 14]],tb_Cartao_Credito_Detalhado[Mês/Ano],OFFSET(H$4,0,-13)),
SUMIFS(tb_Cartao_Credito_Detalhado[[Mês 15]:[Mês 15]],tb_Cartao_Credito_Detalhado[Mês/Ano],OFFSET(H$4,0,-14)),
SUMIFS(tb_Cartao_Credito_Detalhado[[Mês 16]:[Mês 16]],tb_Cartao_Credito_Detalhado[Mês/Ano],OFFSET(H$4,0,-15)),
SUMIFS(tb_Cartao_Credito_Detalhado[[Mês 17]:[Mês 17]],tb_Cartao_Credito_Detalhado[Mês/Ano],OFFSET(H$4,0,-16)),
SUMIFS(tb_Cartao_Credito_Detalhado[[Mês 18]:[Mês 18]],tb_Cartao_Credito_Detalhado[Mês/Ano],OFFSET(H$4,0,-17)),
SUMIFS(tb_Cartao_Credito_Detalhado[[Mês 19]:[Mês 19]],tb_Cartao_Credito_Detalhado[Mês/Ano],OFFSET(H$4,0,-18)),
SUMIFS(tb_Cartao_Credito_Detalhado[[Mês 20]:[Mês 20]],tb_Cartao_Credito_Detalhado[Mês/Ano],OFFSET(H$4,0,-19)),
SUMIFS(tb_Cartao_Credito_Detalhado[[Mês 21]:[Mês 21]],tb_Cartao_Credito_Detalhado[Mês/Ano],OFFSET(H$4,0,-20)),
SUMIFS(tb_Cartao_Credito_Detalhado[[Mês 22]:[Mês 22]],tb_Cartao_Credito_Detalhado[Mês/Ano],OFFSET(H$4,0,-21)),
SUMIFS(tb_Cartao_Credito_Detalhado[[Mês 23]:[Mês 23]],tb_Cartao_Credito_Detalhado[Mês/Ano],OFFSET(H$4,0,-22)),
SUMIFS(tb_Cartao_Credito_Detalhado[[Mês 24]:[Mês 24]],tb_Cartao_Credito_Detalhado[Mês/Ano],OFFSET(H$4,0,-23)),
SUMIFS(tb_Cartao_Credito_Detalhado[[Mês 25]:[Mês 25]],tb_Cartao_Credito_Detalhado[Mês/Ano],OFFSET(H$4,0,-24)),
SUMIFS(tb_Cartao_Credito_Detalhado[[Mês 26]:[Mês 26]],tb_Cartao_Credito_Detalhado[Mês/Ano],OFFSET(H$4,0,-25)),
SUMIFS(tb_Cartao_Credito_Detalhado[[Mês 27]:[Mês 27]],tb_Cartao_Credito_Detalhado[Mês/Ano],OFFSET(H$4,0,-26)),
SUMIFS(tb_Cartao_Credito_Detalhado[[Mês 28]:[Mês 28]],tb_Cartao_Credito_Detalhado[Mês/Ano],OFFSET(H$4,0,-27)),
SUMIFS(tb_Cartao_Credito_Detalhado[[Mês 29]:[Mês 29]],tb_Cartao_Credito_Detalhado[Mês/Ano],OFFSET(H$4,0,-28)),
SUMIFS(tb_Cartao_Credito_Detalhado[[Mês 30]:[Mês 30]],tb_Cartao_Credito_Detalhado[Mês/Ano],OFFSET(H$4,0,-29)),
SUMIFS(tb_Cartao_Credito_Detalhado[[Mês 31]:[Mês 31]],tb_Cartao_Credito_Detalhado[Mês/Ano],OFFSET(H$4,0,-30)),
SUMIFS(tb_Cartao_Credito_Detalhado[[Mês 32]:[Mês 32]],tb_Cartao_Credito_Detalhado[Mês/Ano],OFFSET(H$4,0,-31)),
SUMIFS(tb_Cartao_Credito_Detalhado[[Mês 33]:[Mês 33]],tb_Cartao_Credito_Detalhado[Mês/Ano],OFFSET(H$4,0,-32)),
SUMIFS(tb_Cartao_Credito_Detalhado[[Mês 34]:[Mês 34]],tb_Cartao_Credito_Detalhado[Mês/Ano],OFFSET(H$4,0,-33)),
SUMIFS(tb_Cartao_Credito_Detalhado[[Mês 35]:[Mês 35]],tb_Cartao_Credito_Detalhado[Mês/Ano],OFFSET(H$4,0,-34)),
SUMIFS(tb_Cartao_Credito_Detalhado[[Mês 36]:[Mês 36]],tb_Cartao_Credito_Detalhado[Mês/Ano],OFFSET(H$4,0,-35)),
SUMIFS(tb_Cartao_Credito_Detalhado[[Mês 37]:[Mês 37]],tb_Cartao_Credito_Detalhado[Mês/Ano],OFFSET(H$4,0,-36)),
SUMIFS(tb_Cartao_Credito_Detalhado[[Mês 38]:[Mês 38]],tb_Cartao_Credito_Detalhado[Mês/Ano],OFFSET(H$4,0,-37)),
SUMIFS(tb_Cartao_Credito_Detalhado[[Mês 39]:[Mês 39]],tb_Cartao_Credito_Detalhado[Mês/Ano],OFFSET(H$4,0,-38)),
SUMIFS(tb_Cartao_Credito_Detalhado[[Mês 40]:[Mês 40]],tb_Cartao_Credito_Detalhado[Mês/Ano],OFFSET(H$4,0,-39)),
SUMIFS(tb_Cartao_Credito_Detalhado[[Mês 41]:[Mês 41]],tb_Cartao_Credito_Detalhado[Mês/Ano],OFFSET(H$4,0,-40)),
SUMIFS(tb_Cartao_Credito_Detalhado[[Mês 42]:[Mês 42]],tb_Cartao_Credito_Detalhado[Mês/Ano],OFFSET(H$4,0,-41)),
SUMIFS(tb_Cartao_Credito_Detalhado[[Mês 43]:[Mês 43]],tb_Cartao_Credito_Detalhado[Mês/Ano],OFFSET(H$4,0,-42)),
SUMIFS(tb_Cartao_Credito_Detalhado[[Mês 44]:[Mês 44]],tb_Cartao_Credito_Detalhado[Mês/Ano],OFFSET(H$4,0,-43)),
SUMIFS(tb_Cartao_Credito_Detalhado[[Mês 45]:[Mês 45]],tb_Cartao_Credito_Detalhado[Mês/Ano],OFFSET(H$4,0,-44)),
)</calculatedColumnFormula>
    </tableColumn>
    <tableColumn id="6" name="jun-2017" dataDxfId="47">
      <calculatedColumnFormula>SUM(
SUMIFS(tb_Cartao_Credito_Detalhado[[Mês 1]:[Mês 1]],tb_Cartao_Credito_Detalhado[Mês/Ano],I$4),
SUMIFS(tb_Cartao_Credito_Detalhado[[Mês 2]:[Mês 2]],tb_Cartao_Credito_Detalhado[Mês/Ano],OFFSET(I$4,0,-1)),
SUMIFS(tb_Cartao_Credito_Detalhado[[Mês 3]:[Mês 3]],tb_Cartao_Credito_Detalhado[Mês/Ano],OFFSET(I$4,0,-2)),
SUMIFS(tb_Cartao_Credito_Detalhado[[Mês 4]:[Mês 4]],tb_Cartao_Credito_Detalhado[Mês/Ano],OFFSET(I$4,0,-3)),
SUMIFS(tb_Cartao_Credito_Detalhado[[Mês 5]:[Mês 5]],tb_Cartao_Credito_Detalhado[Mês/Ano],OFFSET(I$4,0,-4)),
SUMIFS(tb_Cartao_Credito_Detalhado[[Mês 6]:[Mês 6]],tb_Cartao_Credito_Detalhado[Mês/Ano],OFFSET(I$4,0,-5)),
SUMIFS(tb_Cartao_Credito_Detalhado[[Mês 7]:[Mês 7]],tb_Cartao_Credito_Detalhado[Mês/Ano],OFFSET(I$4,0,-6)),
SUMIFS(tb_Cartao_Credito_Detalhado[[Mês 8]:[Mês 8]],tb_Cartao_Credito_Detalhado[Mês/Ano],OFFSET(I$4,0,-7)),
SUMIFS(tb_Cartao_Credito_Detalhado[[Mês 9]:[Mês 9]],tb_Cartao_Credito_Detalhado[Mês/Ano],OFFSET(I$4,0,-8)),
SUMIFS(tb_Cartao_Credito_Detalhado[[Mês 10]:[Mês 10]],tb_Cartao_Credito_Detalhado[Mês/Ano],OFFSET(I$4,0,-9)),
SUMIFS(tb_Cartao_Credito_Detalhado[[Mês 11]:[Mês 11]],tb_Cartao_Credito_Detalhado[Mês/Ano],OFFSET(I$4,0,-10)),
SUMIFS(tb_Cartao_Credito_Detalhado[[Mês 12]:[Mês 12]],tb_Cartao_Credito_Detalhado[Mês/Ano],OFFSET(I$4,0,-11)),
SUMIFS(tb_Cartao_Credito_Detalhado[[Mês 13]:[Mês 13]],tb_Cartao_Credito_Detalhado[Mês/Ano],OFFSET(I$4,0,-12)),
SUMIFS(tb_Cartao_Credito_Detalhado[[Mês 14]:[Mês 14]],tb_Cartao_Credito_Detalhado[Mês/Ano],OFFSET(I$4,0,-13)),
SUMIFS(tb_Cartao_Credito_Detalhado[[Mês 15]:[Mês 15]],tb_Cartao_Credito_Detalhado[Mês/Ano],OFFSET(I$4,0,-14)),
SUMIFS(tb_Cartao_Credito_Detalhado[[Mês 16]:[Mês 16]],tb_Cartao_Credito_Detalhado[Mês/Ano],OFFSET(I$4,0,-15)),
SUMIFS(tb_Cartao_Credito_Detalhado[[Mês 17]:[Mês 17]],tb_Cartao_Credito_Detalhado[Mês/Ano],OFFSET(I$4,0,-16)),
SUMIFS(tb_Cartao_Credito_Detalhado[[Mês 18]:[Mês 18]],tb_Cartao_Credito_Detalhado[Mês/Ano],OFFSET(I$4,0,-17)),
SUMIFS(tb_Cartao_Credito_Detalhado[[Mês 19]:[Mês 19]],tb_Cartao_Credito_Detalhado[Mês/Ano],OFFSET(I$4,0,-18)),
SUMIFS(tb_Cartao_Credito_Detalhado[[Mês 20]:[Mês 20]],tb_Cartao_Credito_Detalhado[Mês/Ano],OFFSET(I$4,0,-19)),
SUMIFS(tb_Cartao_Credito_Detalhado[[Mês 21]:[Mês 21]],tb_Cartao_Credito_Detalhado[Mês/Ano],OFFSET(I$4,0,-20)),
SUMIFS(tb_Cartao_Credito_Detalhado[[Mês 22]:[Mês 22]],tb_Cartao_Credito_Detalhado[Mês/Ano],OFFSET(I$4,0,-21)),
SUMIFS(tb_Cartao_Credito_Detalhado[[Mês 23]:[Mês 23]],tb_Cartao_Credito_Detalhado[Mês/Ano],OFFSET(I$4,0,-22)),
SUMIFS(tb_Cartao_Credito_Detalhado[[Mês 24]:[Mês 24]],tb_Cartao_Credito_Detalhado[Mês/Ano],OFFSET(I$4,0,-23)),
SUMIFS(tb_Cartao_Credito_Detalhado[[Mês 25]:[Mês 25]],tb_Cartao_Credito_Detalhado[Mês/Ano],OFFSET(I$4,0,-24)),
SUMIFS(tb_Cartao_Credito_Detalhado[[Mês 26]:[Mês 26]],tb_Cartao_Credito_Detalhado[Mês/Ano],OFFSET(I$4,0,-25)),
SUMIFS(tb_Cartao_Credito_Detalhado[[Mês 27]:[Mês 27]],tb_Cartao_Credito_Detalhado[Mês/Ano],OFFSET(I$4,0,-26)),
SUMIFS(tb_Cartao_Credito_Detalhado[[Mês 28]:[Mês 28]],tb_Cartao_Credito_Detalhado[Mês/Ano],OFFSET(I$4,0,-27)),
SUMIFS(tb_Cartao_Credito_Detalhado[[Mês 29]:[Mês 29]],tb_Cartao_Credito_Detalhado[Mês/Ano],OFFSET(I$4,0,-28)),
SUMIFS(tb_Cartao_Credito_Detalhado[[Mês 30]:[Mês 30]],tb_Cartao_Credito_Detalhado[Mês/Ano],OFFSET(I$4,0,-29)),
SUMIFS(tb_Cartao_Credito_Detalhado[[Mês 31]:[Mês 31]],tb_Cartao_Credito_Detalhado[Mês/Ano],OFFSET(I$4,0,-30)),
SUMIFS(tb_Cartao_Credito_Detalhado[[Mês 32]:[Mês 32]],tb_Cartao_Credito_Detalhado[Mês/Ano],OFFSET(I$4,0,-31)),
SUMIFS(tb_Cartao_Credito_Detalhado[[Mês 33]:[Mês 33]],tb_Cartao_Credito_Detalhado[Mês/Ano],OFFSET(I$4,0,-32)),
SUMIFS(tb_Cartao_Credito_Detalhado[[Mês 34]:[Mês 34]],tb_Cartao_Credito_Detalhado[Mês/Ano],OFFSET(I$4,0,-33)),
SUMIFS(tb_Cartao_Credito_Detalhado[[Mês 35]:[Mês 35]],tb_Cartao_Credito_Detalhado[Mês/Ano],OFFSET(I$4,0,-34)),
SUMIFS(tb_Cartao_Credito_Detalhado[[Mês 36]:[Mês 36]],tb_Cartao_Credito_Detalhado[Mês/Ano],OFFSET(I$4,0,-35)),
SUMIFS(tb_Cartao_Credito_Detalhado[[Mês 37]:[Mês 37]],tb_Cartao_Credito_Detalhado[Mês/Ano],OFFSET(I$4,0,-36)),
SUMIFS(tb_Cartao_Credito_Detalhado[[Mês 38]:[Mês 38]],tb_Cartao_Credito_Detalhado[Mês/Ano],OFFSET(I$4,0,-37)),
SUMIFS(tb_Cartao_Credito_Detalhado[[Mês 39]:[Mês 39]],tb_Cartao_Credito_Detalhado[Mês/Ano],OFFSET(I$4,0,-38)),
SUMIFS(tb_Cartao_Credito_Detalhado[[Mês 40]:[Mês 40]],tb_Cartao_Credito_Detalhado[Mês/Ano],OFFSET(I$4,0,-39)),
SUMIFS(tb_Cartao_Credito_Detalhado[[Mês 41]:[Mês 41]],tb_Cartao_Credito_Detalhado[Mês/Ano],OFFSET(I$4,0,-40)),
SUMIFS(tb_Cartao_Credito_Detalhado[[Mês 42]:[Mês 42]],tb_Cartao_Credito_Detalhado[Mês/Ano],OFFSET(I$4,0,-41)),
SUMIFS(tb_Cartao_Credito_Detalhado[[Mês 43]:[Mês 43]],tb_Cartao_Credito_Detalhado[Mês/Ano],OFFSET(I$4,0,-42)),
SUMIFS(tb_Cartao_Credito_Detalhado[[Mês 44]:[Mês 44]],tb_Cartao_Credito_Detalhado[Mês/Ano],OFFSET(I$4,0,-43)),
SUMIFS(tb_Cartao_Credito_Detalhado[[Mês 45]:[Mês 45]],tb_Cartao_Credito_Detalhado[Mês/Ano],OFFSET(I$4,0,-44)),
)</calculatedColumnFormula>
    </tableColumn>
    <tableColumn id="7" name="jul-2017" dataDxfId="46">
      <calculatedColumnFormula>SUM(
SUMIFS(tb_Cartao_Credito_Detalhado[[Mês 1]:[Mês 1]],tb_Cartao_Credito_Detalhado[Mês/Ano],J$4),
SUMIFS(tb_Cartao_Credito_Detalhado[[Mês 2]:[Mês 2]],tb_Cartao_Credito_Detalhado[Mês/Ano],OFFSET(J$4,0,-1)),
SUMIFS(tb_Cartao_Credito_Detalhado[[Mês 3]:[Mês 3]],tb_Cartao_Credito_Detalhado[Mês/Ano],OFFSET(J$4,0,-2)),
SUMIFS(tb_Cartao_Credito_Detalhado[[Mês 4]:[Mês 4]],tb_Cartao_Credito_Detalhado[Mês/Ano],OFFSET(J$4,0,-3)),
SUMIFS(tb_Cartao_Credito_Detalhado[[Mês 5]:[Mês 5]],tb_Cartao_Credito_Detalhado[Mês/Ano],OFFSET(J$4,0,-4)),
SUMIFS(tb_Cartao_Credito_Detalhado[[Mês 6]:[Mês 6]],tb_Cartao_Credito_Detalhado[Mês/Ano],OFFSET(J$4,0,-5)),
SUMIFS(tb_Cartao_Credito_Detalhado[[Mês 7]:[Mês 7]],tb_Cartao_Credito_Detalhado[Mês/Ano],OFFSET(J$4,0,-6)),
SUMIFS(tb_Cartao_Credito_Detalhado[[Mês 8]:[Mês 8]],tb_Cartao_Credito_Detalhado[Mês/Ano],OFFSET(J$4,0,-7)),
SUMIFS(tb_Cartao_Credito_Detalhado[[Mês 9]:[Mês 9]],tb_Cartao_Credito_Detalhado[Mês/Ano],OFFSET(J$4,0,-8)),
SUMIFS(tb_Cartao_Credito_Detalhado[[Mês 10]:[Mês 10]],tb_Cartao_Credito_Detalhado[Mês/Ano],OFFSET(J$4,0,-9)),
SUMIFS(tb_Cartao_Credito_Detalhado[[Mês 11]:[Mês 11]],tb_Cartao_Credito_Detalhado[Mês/Ano],OFFSET(J$4,0,-10)),
SUMIFS(tb_Cartao_Credito_Detalhado[[Mês 12]:[Mês 12]],tb_Cartao_Credito_Detalhado[Mês/Ano],OFFSET(J$4,0,-11)),
SUMIFS(tb_Cartao_Credito_Detalhado[[Mês 13]:[Mês 13]],tb_Cartao_Credito_Detalhado[Mês/Ano],OFFSET(J$4,0,-12)),
SUMIFS(tb_Cartao_Credito_Detalhado[[Mês 14]:[Mês 14]],tb_Cartao_Credito_Detalhado[Mês/Ano],OFFSET(J$4,0,-13)),
SUMIFS(tb_Cartao_Credito_Detalhado[[Mês 15]:[Mês 15]],tb_Cartao_Credito_Detalhado[Mês/Ano],OFFSET(J$4,0,-14)),
SUMIFS(tb_Cartao_Credito_Detalhado[[Mês 16]:[Mês 16]],tb_Cartao_Credito_Detalhado[Mês/Ano],OFFSET(J$4,0,-15)),
SUMIFS(tb_Cartao_Credito_Detalhado[[Mês 17]:[Mês 17]],tb_Cartao_Credito_Detalhado[Mês/Ano],OFFSET(J$4,0,-16)),
SUMIFS(tb_Cartao_Credito_Detalhado[[Mês 18]:[Mês 18]],tb_Cartao_Credito_Detalhado[Mês/Ano],OFFSET(J$4,0,-17)),
SUMIFS(tb_Cartao_Credito_Detalhado[[Mês 19]:[Mês 19]],tb_Cartao_Credito_Detalhado[Mês/Ano],OFFSET(J$4,0,-18)),
SUMIFS(tb_Cartao_Credito_Detalhado[[Mês 20]:[Mês 20]],tb_Cartao_Credito_Detalhado[Mês/Ano],OFFSET(J$4,0,-19)),
SUMIFS(tb_Cartao_Credito_Detalhado[[Mês 21]:[Mês 21]],tb_Cartao_Credito_Detalhado[Mês/Ano],OFFSET(J$4,0,-20)),
SUMIFS(tb_Cartao_Credito_Detalhado[[Mês 22]:[Mês 22]],tb_Cartao_Credito_Detalhado[Mês/Ano],OFFSET(J$4,0,-21)),
SUMIFS(tb_Cartao_Credito_Detalhado[[Mês 23]:[Mês 23]],tb_Cartao_Credito_Detalhado[Mês/Ano],OFFSET(J$4,0,-22)),
SUMIFS(tb_Cartao_Credito_Detalhado[[Mês 24]:[Mês 24]],tb_Cartao_Credito_Detalhado[Mês/Ano],OFFSET(J$4,0,-23)),
SUMIFS(tb_Cartao_Credito_Detalhado[[Mês 25]:[Mês 25]],tb_Cartao_Credito_Detalhado[Mês/Ano],OFFSET(J$4,0,-24)),
SUMIFS(tb_Cartao_Credito_Detalhado[[Mês 26]:[Mês 26]],tb_Cartao_Credito_Detalhado[Mês/Ano],OFFSET(J$4,0,-25)),
SUMIFS(tb_Cartao_Credito_Detalhado[[Mês 27]:[Mês 27]],tb_Cartao_Credito_Detalhado[Mês/Ano],OFFSET(J$4,0,-26)),
SUMIFS(tb_Cartao_Credito_Detalhado[[Mês 28]:[Mês 28]],tb_Cartao_Credito_Detalhado[Mês/Ano],OFFSET(J$4,0,-27)),
SUMIFS(tb_Cartao_Credito_Detalhado[[Mês 29]:[Mês 29]],tb_Cartao_Credito_Detalhado[Mês/Ano],OFFSET(J$4,0,-28)),
SUMIFS(tb_Cartao_Credito_Detalhado[[Mês 30]:[Mês 30]],tb_Cartao_Credito_Detalhado[Mês/Ano],OFFSET(J$4,0,-29)),
SUMIFS(tb_Cartao_Credito_Detalhado[[Mês 31]:[Mês 31]],tb_Cartao_Credito_Detalhado[Mês/Ano],OFFSET(J$4,0,-30)),
SUMIFS(tb_Cartao_Credito_Detalhado[[Mês 32]:[Mês 32]],tb_Cartao_Credito_Detalhado[Mês/Ano],OFFSET(J$4,0,-31)),
SUMIFS(tb_Cartao_Credito_Detalhado[[Mês 33]:[Mês 33]],tb_Cartao_Credito_Detalhado[Mês/Ano],OFFSET(J$4,0,-32)),
SUMIFS(tb_Cartao_Credito_Detalhado[[Mês 34]:[Mês 34]],tb_Cartao_Credito_Detalhado[Mês/Ano],OFFSET(J$4,0,-33)),
SUMIFS(tb_Cartao_Credito_Detalhado[[Mês 35]:[Mês 35]],tb_Cartao_Credito_Detalhado[Mês/Ano],OFFSET(J$4,0,-34)),
SUMIFS(tb_Cartao_Credito_Detalhado[[Mês 36]:[Mês 36]],tb_Cartao_Credito_Detalhado[Mês/Ano],OFFSET(J$4,0,-35)),
SUMIFS(tb_Cartao_Credito_Detalhado[[Mês 37]:[Mês 37]],tb_Cartao_Credito_Detalhado[Mês/Ano],OFFSET(J$4,0,-36)),
SUMIFS(tb_Cartao_Credito_Detalhado[[Mês 38]:[Mês 38]],tb_Cartao_Credito_Detalhado[Mês/Ano],OFFSET(J$4,0,-37)),
SUMIFS(tb_Cartao_Credito_Detalhado[[Mês 39]:[Mês 39]],tb_Cartao_Credito_Detalhado[Mês/Ano],OFFSET(J$4,0,-38)),
SUMIFS(tb_Cartao_Credito_Detalhado[[Mês 40]:[Mês 40]],tb_Cartao_Credito_Detalhado[Mês/Ano],OFFSET(J$4,0,-39)),
SUMIFS(tb_Cartao_Credito_Detalhado[[Mês 41]:[Mês 41]],tb_Cartao_Credito_Detalhado[Mês/Ano],OFFSET(J$4,0,-40)),
SUMIFS(tb_Cartao_Credito_Detalhado[[Mês 42]:[Mês 42]],tb_Cartao_Credito_Detalhado[Mês/Ano],OFFSET(J$4,0,-41)),
SUMIFS(tb_Cartao_Credito_Detalhado[[Mês 43]:[Mês 43]],tb_Cartao_Credito_Detalhado[Mês/Ano],OFFSET(J$4,0,-42)),
SUMIFS(tb_Cartao_Credito_Detalhado[[Mês 44]:[Mês 44]],tb_Cartao_Credito_Detalhado[Mês/Ano],OFFSET(J$4,0,-43)),
SUMIFS(tb_Cartao_Credito_Detalhado[[Mês 45]:[Mês 45]],tb_Cartao_Credito_Detalhado[Mês/Ano],OFFSET(J$4,0,-44)),
)</calculatedColumnFormula>
    </tableColumn>
    <tableColumn id="8" name="ago-2017" dataDxfId="45">
      <calculatedColumnFormula>SUM(
SUMIFS(tb_Cartao_Credito_Detalhado[[Mês 1]:[Mês 1]],tb_Cartao_Credito_Detalhado[Mês/Ano],K$4),
SUMIFS(tb_Cartao_Credito_Detalhado[[Mês 2]:[Mês 2]],tb_Cartao_Credito_Detalhado[Mês/Ano],OFFSET(K$4,0,-1)),
SUMIFS(tb_Cartao_Credito_Detalhado[[Mês 3]:[Mês 3]],tb_Cartao_Credito_Detalhado[Mês/Ano],OFFSET(K$4,0,-2)),
SUMIFS(tb_Cartao_Credito_Detalhado[[Mês 4]:[Mês 4]],tb_Cartao_Credito_Detalhado[Mês/Ano],OFFSET(K$4,0,-3)),
SUMIFS(tb_Cartao_Credito_Detalhado[[Mês 5]:[Mês 5]],tb_Cartao_Credito_Detalhado[Mês/Ano],OFFSET(K$4,0,-4)),
SUMIFS(tb_Cartao_Credito_Detalhado[[Mês 6]:[Mês 6]],tb_Cartao_Credito_Detalhado[Mês/Ano],OFFSET(K$4,0,-5)),
SUMIFS(tb_Cartao_Credito_Detalhado[[Mês 7]:[Mês 7]],tb_Cartao_Credito_Detalhado[Mês/Ano],OFFSET(K$4,0,-6)),
SUMIFS(tb_Cartao_Credito_Detalhado[[Mês 8]:[Mês 8]],tb_Cartao_Credito_Detalhado[Mês/Ano],OFFSET(K$4,0,-7)),
SUMIFS(tb_Cartao_Credito_Detalhado[[Mês 9]:[Mês 9]],tb_Cartao_Credito_Detalhado[Mês/Ano],OFFSET(K$4,0,-8)),
SUMIFS(tb_Cartao_Credito_Detalhado[[Mês 10]:[Mês 10]],tb_Cartao_Credito_Detalhado[Mês/Ano],OFFSET(K$4,0,-9)),
SUMIFS(tb_Cartao_Credito_Detalhado[[Mês 11]:[Mês 11]],tb_Cartao_Credito_Detalhado[Mês/Ano],OFFSET(K$4,0,-10)),
SUMIFS(tb_Cartao_Credito_Detalhado[[Mês 12]:[Mês 12]],tb_Cartao_Credito_Detalhado[Mês/Ano],OFFSET(K$4,0,-11)),
SUMIFS(tb_Cartao_Credito_Detalhado[[Mês 13]:[Mês 13]],tb_Cartao_Credito_Detalhado[Mês/Ano],OFFSET(K$4,0,-12)),
SUMIFS(tb_Cartao_Credito_Detalhado[[Mês 14]:[Mês 14]],tb_Cartao_Credito_Detalhado[Mês/Ano],OFFSET(K$4,0,-13)),
SUMIFS(tb_Cartao_Credito_Detalhado[[Mês 15]:[Mês 15]],tb_Cartao_Credito_Detalhado[Mês/Ano],OFFSET(K$4,0,-14)),
SUMIFS(tb_Cartao_Credito_Detalhado[[Mês 16]:[Mês 16]],tb_Cartao_Credito_Detalhado[Mês/Ano],OFFSET(K$4,0,-15)),
SUMIFS(tb_Cartao_Credito_Detalhado[[Mês 17]:[Mês 17]],tb_Cartao_Credito_Detalhado[Mês/Ano],OFFSET(K$4,0,-16)),
SUMIFS(tb_Cartao_Credito_Detalhado[[Mês 18]:[Mês 18]],tb_Cartao_Credito_Detalhado[Mês/Ano],OFFSET(K$4,0,-17)),
SUMIFS(tb_Cartao_Credito_Detalhado[[Mês 19]:[Mês 19]],tb_Cartao_Credito_Detalhado[Mês/Ano],OFFSET(K$4,0,-18)),
SUMIFS(tb_Cartao_Credito_Detalhado[[Mês 20]:[Mês 20]],tb_Cartao_Credito_Detalhado[Mês/Ano],OFFSET(K$4,0,-19)),
SUMIFS(tb_Cartao_Credito_Detalhado[[Mês 21]:[Mês 21]],tb_Cartao_Credito_Detalhado[Mês/Ano],OFFSET(K$4,0,-20)),
SUMIFS(tb_Cartao_Credito_Detalhado[[Mês 22]:[Mês 22]],tb_Cartao_Credito_Detalhado[Mês/Ano],OFFSET(K$4,0,-21)),
SUMIFS(tb_Cartao_Credito_Detalhado[[Mês 23]:[Mês 23]],tb_Cartao_Credito_Detalhado[Mês/Ano],OFFSET(K$4,0,-22)),
SUMIFS(tb_Cartao_Credito_Detalhado[[Mês 24]:[Mês 24]],tb_Cartao_Credito_Detalhado[Mês/Ano],OFFSET(K$4,0,-23)),
SUMIFS(tb_Cartao_Credito_Detalhado[[Mês 25]:[Mês 25]],tb_Cartao_Credito_Detalhado[Mês/Ano],OFFSET(K$4,0,-24)),
SUMIFS(tb_Cartao_Credito_Detalhado[[Mês 26]:[Mês 26]],tb_Cartao_Credito_Detalhado[Mês/Ano],OFFSET(K$4,0,-25)),
SUMIFS(tb_Cartao_Credito_Detalhado[[Mês 27]:[Mês 27]],tb_Cartao_Credito_Detalhado[Mês/Ano],OFFSET(K$4,0,-26)),
SUMIFS(tb_Cartao_Credito_Detalhado[[Mês 28]:[Mês 28]],tb_Cartao_Credito_Detalhado[Mês/Ano],OFFSET(K$4,0,-27)),
SUMIFS(tb_Cartao_Credito_Detalhado[[Mês 29]:[Mês 29]],tb_Cartao_Credito_Detalhado[Mês/Ano],OFFSET(K$4,0,-28)),
SUMIFS(tb_Cartao_Credito_Detalhado[[Mês 30]:[Mês 30]],tb_Cartao_Credito_Detalhado[Mês/Ano],OFFSET(K$4,0,-29)),
SUMIFS(tb_Cartao_Credito_Detalhado[[Mês 31]:[Mês 31]],tb_Cartao_Credito_Detalhado[Mês/Ano],OFFSET(K$4,0,-30)),
SUMIFS(tb_Cartao_Credito_Detalhado[[Mês 32]:[Mês 32]],tb_Cartao_Credito_Detalhado[Mês/Ano],OFFSET(K$4,0,-31)),
SUMIFS(tb_Cartao_Credito_Detalhado[[Mês 33]:[Mês 33]],tb_Cartao_Credito_Detalhado[Mês/Ano],OFFSET(K$4,0,-32)),
SUMIFS(tb_Cartao_Credito_Detalhado[[Mês 34]:[Mês 34]],tb_Cartao_Credito_Detalhado[Mês/Ano],OFFSET(K$4,0,-33)),
SUMIFS(tb_Cartao_Credito_Detalhado[[Mês 35]:[Mês 35]],tb_Cartao_Credito_Detalhado[Mês/Ano],OFFSET(K$4,0,-34)),
SUMIFS(tb_Cartao_Credito_Detalhado[[Mês 36]:[Mês 36]],tb_Cartao_Credito_Detalhado[Mês/Ano],OFFSET(K$4,0,-35)),
SUMIFS(tb_Cartao_Credito_Detalhado[[Mês 37]:[Mês 37]],tb_Cartao_Credito_Detalhado[Mês/Ano],OFFSET(K$4,0,-36)),
SUMIFS(tb_Cartao_Credito_Detalhado[[Mês 38]:[Mês 38]],tb_Cartao_Credito_Detalhado[Mês/Ano],OFFSET(K$4,0,-37)),
SUMIFS(tb_Cartao_Credito_Detalhado[[Mês 39]:[Mês 39]],tb_Cartao_Credito_Detalhado[Mês/Ano],OFFSET(K$4,0,-38)),
SUMIFS(tb_Cartao_Credito_Detalhado[[Mês 40]:[Mês 40]],tb_Cartao_Credito_Detalhado[Mês/Ano],OFFSET(K$4,0,-39)),
SUMIFS(tb_Cartao_Credito_Detalhado[[Mês 41]:[Mês 41]],tb_Cartao_Credito_Detalhado[Mês/Ano],OFFSET(K$4,0,-40)),
SUMIFS(tb_Cartao_Credito_Detalhado[[Mês 42]:[Mês 42]],tb_Cartao_Credito_Detalhado[Mês/Ano],OFFSET(K$4,0,-41)),
SUMIFS(tb_Cartao_Credito_Detalhado[[Mês 43]:[Mês 43]],tb_Cartao_Credito_Detalhado[Mês/Ano],OFFSET(K$4,0,-42)),
SUMIFS(tb_Cartao_Credito_Detalhado[[Mês 44]:[Mês 44]],tb_Cartao_Credito_Detalhado[Mês/Ano],OFFSET(K$4,0,-43)),
SUMIFS(tb_Cartao_Credito_Detalhado[[Mês 45]:[Mês 45]],tb_Cartao_Credito_Detalhado[Mês/Ano],OFFSET(K$4,0,-44)),
)</calculatedColumnFormula>
    </tableColumn>
    <tableColumn id="9" name="set-2017" dataDxfId="44">
      <calculatedColumnFormula>SUM(
SUMIFS(tb_Cartao_Credito_Detalhado[[Mês 1]:[Mês 1]],tb_Cartao_Credito_Detalhado[Mês/Ano],L$4),
SUMIFS(tb_Cartao_Credito_Detalhado[[Mês 2]:[Mês 2]],tb_Cartao_Credito_Detalhado[Mês/Ano],OFFSET(L$4,0,-1)),
SUMIFS(tb_Cartao_Credito_Detalhado[[Mês 3]:[Mês 3]],tb_Cartao_Credito_Detalhado[Mês/Ano],OFFSET(L$4,0,-2)),
SUMIFS(tb_Cartao_Credito_Detalhado[[Mês 4]:[Mês 4]],tb_Cartao_Credito_Detalhado[Mês/Ano],OFFSET(L$4,0,-3)),
SUMIFS(tb_Cartao_Credito_Detalhado[[Mês 5]:[Mês 5]],tb_Cartao_Credito_Detalhado[Mês/Ano],OFFSET(L$4,0,-4)),
SUMIFS(tb_Cartao_Credito_Detalhado[[Mês 6]:[Mês 6]],tb_Cartao_Credito_Detalhado[Mês/Ano],OFFSET(L$4,0,-5)),
SUMIFS(tb_Cartao_Credito_Detalhado[[Mês 7]:[Mês 7]],tb_Cartao_Credito_Detalhado[Mês/Ano],OFFSET(L$4,0,-6)),
SUMIFS(tb_Cartao_Credito_Detalhado[[Mês 8]:[Mês 8]],tb_Cartao_Credito_Detalhado[Mês/Ano],OFFSET(L$4,0,-7)),
SUMIFS(tb_Cartao_Credito_Detalhado[[Mês 9]:[Mês 9]],tb_Cartao_Credito_Detalhado[Mês/Ano],OFFSET(L$4,0,-8)),
SUMIFS(tb_Cartao_Credito_Detalhado[[Mês 10]:[Mês 10]],tb_Cartao_Credito_Detalhado[Mês/Ano],OFFSET(L$4,0,-9)),
SUMIFS(tb_Cartao_Credito_Detalhado[[Mês 11]:[Mês 11]],tb_Cartao_Credito_Detalhado[Mês/Ano],OFFSET(L$4,0,-10)),
SUMIFS(tb_Cartao_Credito_Detalhado[[Mês 12]:[Mês 12]],tb_Cartao_Credito_Detalhado[Mês/Ano],OFFSET(L$4,0,-11)),
SUMIFS(tb_Cartao_Credito_Detalhado[[Mês 13]:[Mês 13]],tb_Cartao_Credito_Detalhado[Mês/Ano],OFFSET(L$4,0,-12)),
SUMIFS(tb_Cartao_Credito_Detalhado[[Mês 14]:[Mês 14]],tb_Cartao_Credito_Detalhado[Mês/Ano],OFFSET(L$4,0,-13)),
SUMIFS(tb_Cartao_Credito_Detalhado[[Mês 15]:[Mês 15]],tb_Cartao_Credito_Detalhado[Mês/Ano],OFFSET(L$4,0,-14)),
SUMIFS(tb_Cartao_Credito_Detalhado[[Mês 16]:[Mês 16]],tb_Cartao_Credito_Detalhado[Mês/Ano],OFFSET(L$4,0,-15)),
SUMIFS(tb_Cartao_Credito_Detalhado[[Mês 17]:[Mês 17]],tb_Cartao_Credito_Detalhado[Mês/Ano],OFFSET(L$4,0,-16)),
SUMIFS(tb_Cartao_Credito_Detalhado[[Mês 18]:[Mês 18]],tb_Cartao_Credito_Detalhado[Mês/Ano],OFFSET(L$4,0,-17)),
SUMIFS(tb_Cartao_Credito_Detalhado[[Mês 19]:[Mês 19]],tb_Cartao_Credito_Detalhado[Mês/Ano],OFFSET(L$4,0,-18)),
SUMIFS(tb_Cartao_Credito_Detalhado[[Mês 20]:[Mês 20]],tb_Cartao_Credito_Detalhado[Mês/Ano],OFFSET(L$4,0,-19)),
SUMIFS(tb_Cartao_Credito_Detalhado[[Mês 21]:[Mês 21]],tb_Cartao_Credito_Detalhado[Mês/Ano],OFFSET(L$4,0,-20)),
SUMIFS(tb_Cartao_Credito_Detalhado[[Mês 22]:[Mês 22]],tb_Cartao_Credito_Detalhado[Mês/Ano],OFFSET(L$4,0,-21)),
SUMIFS(tb_Cartao_Credito_Detalhado[[Mês 23]:[Mês 23]],tb_Cartao_Credito_Detalhado[Mês/Ano],OFFSET(L$4,0,-22)),
SUMIFS(tb_Cartao_Credito_Detalhado[[Mês 24]:[Mês 24]],tb_Cartao_Credito_Detalhado[Mês/Ano],OFFSET(L$4,0,-23)),
SUMIFS(tb_Cartao_Credito_Detalhado[[Mês 25]:[Mês 25]],tb_Cartao_Credito_Detalhado[Mês/Ano],OFFSET(L$4,0,-24)),
SUMIFS(tb_Cartao_Credito_Detalhado[[Mês 26]:[Mês 26]],tb_Cartao_Credito_Detalhado[Mês/Ano],OFFSET(L$4,0,-25)),
SUMIFS(tb_Cartao_Credito_Detalhado[[Mês 27]:[Mês 27]],tb_Cartao_Credito_Detalhado[Mês/Ano],OFFSET(L$4,0,-26)),
SUMIFS(tb_Cartao_Credito_Detalhado[[Mês 28]:[Mês 28]],tb_Cartao_Credito_Detalhado[Mês/Ano],OFFSET(L$4,0,-27)),
SUMIFS(tb_Cartao_Credito_Detalhado[[Mês 29]:[Mês 29]],tb_Cartao_Credito_Detalhado[Mês/Ano],OFFSET(L$4,0,-28)),
SUMIFS(tb_Cartao_Credito_Detalhado[[Mês 30]:[Mês 30]],tb_Cartao_Credito_Detalhado[Mês/Ano],OFFSET(L$4,0,-29)),
SUMIFS(tb_Cartao_Credito_Detalhado[[Mês 31]:[Mês 31]],tb_Cartao_Credito_Detalhado[Mês/Ano],OFFSET(L$4,0,-30)),
SUMIFS(tb_Cartao_Credito_Detalhado[[Mês 32]:[Mês 32]],tb_Cartao_Credito_Detalhado[Mês/Ano],OFFSET(L$4,0,-31)),
SUMIFS(tb_Cartao_Credito_Detalhado[[Mês 33]:[Mês 33]],tb_Cartao_Credito_Detalhado[Mês/Ano],OFFSET(L$4,0,-32)),
SUMIFS(tb_Cartao_Credito_Detalhado[[Mês 34]:[Mês 34]],tb_Cartao_Credito_Detalhado[Mês/Ano],OFFSET(L$4,0,-33)),
SUMIFS(tb_Cartao_Credito_Detalhado[[Mês 35]:[Mês 35]],tb_Cartao_Credito_Detalhado[Mês/Ano],OFFSET(L$4,0,-34)),
SUMIFS(tb_Cartao_Credito_Detalhado[[Mês 36]:[Mês 36]],tb_Cartao_Credito_Detalhado[Mês/Ano],OFFSET(L$4,0,-35)),
SUMIFS(tb_Cartao_Credito_Detalhado[[Mês 37]:[Mês 37]],tb_Cartao_Credito_Detalhado[Mês/Ano],OFFSET(L$4,0,-36)),
SUMIFS(tb_Cartao_Credito_Detalhado[[Mês 38]:[Mês 38]],tb_Cartao_Credito_Detalhado[Mês/Ano],OFFSET(L$4,0,-37)),
SUMIFS(tb_Cartao_Credito_Detalhado[[Mês 39]:[Mês 39]],tb_Cartao_Credito_Detalhado[Mês/Ano],OFFSET(L$4,0,-38)),
SUMIFS(tb_Cartao_Credito_Detalhado[[Mês 40]:[Mês 40]],tb_Cartao_Credito_Detalhado[Mês/Ano],OFFSET(L$4,0,-39)),
SUMIFS(tb_Cartao_Credito_Detalhado[[Mês 41]:[Mês 41]],tb_Cartao_Credito_Detalhado[Mês/Ano],OFFSET(L$4,0,-40)),
SUMIFS(tb_Cartao_Credito_Detalhado[[Mês 42]:[Mês 42]],tb_Cartao_Credito_Detalhado[Mês/Ano],OFFSET(L$4,0,-41)),
SUMIFS(tb_Cartao_Credito_Detalhado[[Mês 43]:[Mês 43]],tb_Cartao_Credito_Detalhado[Mês/Ano],OFFSET(L$4,0,-42)),
SUMIFS(tb_Cartao_Credito_Detalhado[[Mês 44]:[Mês 44]],tb_Cartao_Credito_Detalhado[Mês/Ano],OFFSET(L$4,0,-43)),
SUMIFS(tb_Cartao_Credito_Detalhado[[Mês 45]:[Mês 45]],tb_Cartao_Credito_Detalhado[Mês/Ano],OFFSET(L$4,0,-44)),
)</calculatedColumnFormula>
    </tableColumn>
    <tableColumn id="10" name="out-2017" dataDxfId="43">
      <calculatedColumnFormula>SUM(
SUMIFS(tb_Cartao_Credito_Detalhado[[Mês 1]:[Mês 1]],tb_Cartao_Credito_Detalhado[Mês/Ano],M$4),
SUMIFS(tb_Cartao_Credito_Detalhado[[Mês 2]:[Mês 2]],tb_Cartao_Credito_Detalhado[Mês/Ano],OFFSET(M$4,0,-1)),
SUMIFS(tb_Cartao_Credito_Detalhado[[Mês 3]:[Mês 3]],tb_Cartao_Credito_Detalhado[Mês/Ano],OFFSET(M$4,0,-2)),
SUMIFS(tb_Cartao_Credito_Detalhado[[Mês 4]:[Mês 4]],tb_Cartao_Credito_Detalhado[Mês/Ano],OFFSET(M$4,0,-3)),
SUMIFS(tb_Cartao_Credito_Detalhado[[Mês 5]:[Mês 5]],tb_Cartao_Credito_Detalhado[Mês/Ano],OFFSET(M$4,0,-4)),
SUMIFS(tb_Cartao_Credito_Detalhado[[Mês 6]:[Mês 6]],tb_Cartao_Credito_Detalhado[Mês/Ano],OFFSET(M$4,0,-5)),
SUMIFS(tb_Cartao_Credito_Detalhado[[Mês 7]:[Mês 7]],tb_Cartao_Credito_Detalhado[Mês/Ano],OFFSET(M$4,0,-6)),
SUMIFS(tb_Cartao_Credito_Detalhado[[Mês 8]:[Mês 8]],tb_Cartao_Credito_Detalhado[Mês/Ano],OFFSET(M$4,0,-7)),
SUMIFS(tb_Cartao_Credito_Detalhado[[Mês 9]:[Mês 9]],tb_Cartao_Credito_Detalhado[Mês/Ano],OFFSET(M$4,0,-8)),
SUMIFS(tb_Cartao_Credito_Detalhado[[Mês 10]:[Mês 10]],tb_Cartao_Credito_Detalhado[Mês/Ano],OFFSET(M$4,0,-9)),
SUMIFS(tb_Cartao_Credito_Detalhado[[Mês 11]:[Mês 11]],tb_Cartao_Credito_Detalhado[Mês/Ano],OFFSET(M$4,0,-10)),
SUMIFS(tb_Cartao_Credito_Detalhado[[Mês 12]:[Mês 12]],tb_Cartao_Credito_Detalhado[Mês/Ano],OFFSET(M$4,0,-11)),
SUMIFS(tb_Cartao_Credito_Detalhado[[Mês 13]:[Mês 13]],tb_Cartao_Credito_Detalhado[Mês/Ano],OFFSET(M$4,0,-12)),
SUMIFS(tb_Cartao_Credito_Detalhado[[Mês 14]:[Mês 14]],tb_Cartao_Credito_Detalhado[Mês/Ano],OFFSET(M$4,0,-13)),
SUMIFS(tb_Cartao_Credito_Detalhado[[Mês 15]:[Mês 15]],tb_Cartao_Credito_Detalhado[Mês/Ano],OFFSET(M$4,0,-14)),
SUMIFS(tb_Cartao_Credito_Detalhado[[Mês 16]:[Mês 16]],tb_Cartao_Credito_Detalhado[Mês/Ano],OFFSET(M$4,0,-15)),
SUMIFS(tb_Cartao_Credito_Detalhado[[Mês 17]:[Mês 17]],tb_Cartao_Credito_Detalhado[Mês/Ano],OFFSET(M$4,0,-16)),
SUMIFS(tb_Cartao_Credito_Detalhado[[Mês 18]:[Mês 18]],tb_Cartao_Credito_Detalhado[Mês/Ano],OFFSET(M$4,0,-17)),
SUMIFS(tb_Cartao_Credito_Detalhado[[Mês 19]:[Mês 19]],tb_Cartao_Credito_Detalhado[Mês/Ano],OFFSET(M$4,0,-18)),
SUMIFS(tb_Cartao_Credito_Detalhado[[Mês 20]:[Mês 20]],tb_Cartao_Credito_Detalhado[Mês/Ano],OFFSET(M$4,0,-19)),
SUMIFS(tb_Cartao_Credito_Detalhado[[Mês 21]:[Mês 21]],tb_Cartao_Credito_Detalhado[Mês/Ano],OFFSET(M$4,0,-20)),
SUMIFS(tb_Cartao_Credito_Detalhado[[Mês 22]:[Mês 22]],tb_Cartao_Credito_Detalhado[Mês/Ano],OFFSET(M$4,0,-21)),
SUMIFS(tb_Cartao_Credito_Detalhado[[Mês 23]:[Mês 23]],tb_Cartao_Credito_Detalhado[Mês/Ano],OFFSET(M$4,0,-22)),
SUMIFS(tb_Cartao_Credito_Detalhado[[Mês 24]:[Mês 24]],tb_Cartao_Credito_Detalhado[Mês/Ano],OFFSET(M$4,0,-23)),
SUMIFS(tb_Cartao_Credito_Detalhado[[Mês 25]:[Mês 25]],tb_Cartao_Credito_Detalhado[Mês/Ano],OFFSET(M$4,0,-24)),
SUMIFS(tb_Cartao_Credito_Detalhado[[Mês 26]:[Mês 26]],tb_Cartao_Credito_Detalhado[Mês/Ano],OFFSET(M$4,0,-25)),
SUMIFS(tb_Cartao_Credito_Detalhado[[Mês 27]:[Mês 27]],tb_Cartao_Credito_Detalhado[Mês/Ano],OFFSET(M$4,0,-26)),
SUMIFS(tb_Cartao_Credito_Detalhado[[Mês 28]:[Mês 28]],tb_Cartao_Credito_Detalhado[Mês/Ano],OFFSET(M$4,0,-27)),
SUMIFS(tb_Cartao_Credito_Detalhado[[Mês 29]:[Mês 29]],tb_Cartao_Credito_Detalhado[Mês/Ano],OFFSET(M$4,0,-28)),
SUMIFS(tb_Cartao_Credito_Detalhado[[Mês 30]:[Mês 30]],tb_Cartao_Credito_Detalhado[Mês/Ano],OFFSET(M$4,0,-29)),
SUMIFS(tb_Cartao_Credito_Detalhado[[Mês 31]:[Mês 31]],tb_Cartao_Credito_Detalhado[Mês/Ano],OFFSET(M$4,0,-30)),
SUMIFS(tb_Cartao_Credito_Detalhado[[Mês 32]:[Mês 32]],tb_Cartao_Credito_Detalhado[Mês/Ano],OFFSET(M$4,0,-31)),
SUMIFS(tb_Cartao_Credito_Detalhado[[Mês 33]:[Mês 33]],tb_Cartao_Credito_Detalhado[Mês/Ano],OFFSET(M$4,0,-32)),
SUMIFS(tb_Cartao_Credito_Detalhado[[Mês 34]:[Mês 34]],tb_Cartao_Credito_Detalhado[Mês/Ano],OFFSET(M$4,0,-33)),
SUMIFS(tb_Cartao_Credito_Detalhado[[Mês 35]:[Mês 35]],tb_Cartao_Credito_Detalhado[Mês/Ano],OFFSET(M$4,0,-34)),
SUMIFS(tb_Cartao_Credito_Detalhado[[Mês 36]:[Mês 36]],tb_Cartao_Credito_Detalhado[Mês/Ano],OFFSET(M$4,0,-35)),
SUMIFS(tb_Cartao_Credito_Detalhado[[Mês 37]:[Mês 37]],tb_Cartao_Credito_Detalhado[Mês/Ano],OFFSET(M$4,0,-36)),
SUMIFS(tb_Cartao_Credito_Detalhado[[Mês 38]:[Mês 38]],tb_Cartao_Credito_Detalhado[Mês/Ano],OFFSET(M$4,0,-37)),
SUMIFS(tb_Cartao_Credito_Detalhado[[Mês 39]:[Mês 39]],tb_Cartao_Credito_Detalhado[Mês/Ano],OFFSET(M$4,0,-38)),
SUMIFS(tb_Cartao_Credito_Detalhado[[Mês 40]:[Mês 40]],tb_Cartao_Credito_Detalhado[Mês/Ano],OFFSET(M$4,0,-39)),
SUMIFS(tb_Cartao_Credito_Detalhado[[Mês 41]:[Mês 41]],tb_Cartao_Credito_Detalhado[Mês/Ano],OFFSET(M$4,0,-40)),
SUMIFS(tb_Cartao_Credito_Detalhado[[Mês 42]:[Mês 42]],tb_Cartao_Credito_Detalhado[Mês/Ano],OFFSET(M$4,0,-41)),
SUMIFS(tb_Cartao_Credito_Detalhado[[Mês 43]:[Mês 43]],tb_Cartao_Credito_Detalhado[Mês/Ano],OFFSET(M$4,0,-42)),
SUMIFS(tb_Cartao_Credito_Detalhado[[Mês 44]:[Mês 44]],tb_Cartao_Credito_Detalhado[Mês/Ano],OFFSET(M$4,0,-43)),
SUMIFS(tb_Cartao_Credito_Detalhado[[Mês 45]:[Mês 45]],tb_Cartao_Credito_Detalhado[Mês/Ano],OFFSET(M$4,0,-44)),
)</calculatedColumnFormula>
    </tableColumn>
    <tableColumn id="11" name="nov-2017" dataDxfId="42">
      <calculatedColumnFormula>SUM(
SUMIFS(tb_Cartao_Credito_Detalhado[[Mês 1]:[Mês 1]],tb_Cartao_Credito_Detalhado[Mês/Ano],N$4),
SUMIFS(tb_Cartao_Credito_Detalhado[[Mês 2]:[Mês 2]],tb_Cartao_Credito_Detalhado[Mês/Ano],OFFSET(N$4,0,-1)),
SUMIFS(tb_Cartao_Credito_Detalhado[[Mês 3]:[Mês 3]],tb_Cartao_Credito_Detalhado[Mês/Ano],OFFSET(N$4,0,-2)),
SUMIFS(tb_Cartao_Credito_Detalhado[[Mês 4]:[Mês 4]],tb_Cartao_Credito_Detalhado[Mês/Ano],OFFSET(N$4,0,-3)),
SUMIFS(tb_Cartao_Credito_Detalhado[[Mês 5]:[Mês 5]],tb_Cartao_Credito_Detalhado[Mês/Ano],OFFSET(N$4,0,-4)),
SUMIFS(tb_Cartao_Credito_Detalhado[[Mês 6]:[Mês 6]],tb_Cartao_Credito_Detalhado[Mês/Ano],OFFSET(N$4,0,-5)),
SUMIFS(tb_Cartao_Credito_Detalhado[[Mês 7]:[Mês 7]],tb_Cartao_Credito_Detalhado[Mês/Ano],OFFSET(N$4,0,-6)),
SUMIFS(tb_Cartao_Credito_Detalhado[[Mês 8]:[Mês 8]],tb_Cartao_Credito_Detalhado[Mês/Ano],OFFSET(N$4,0,-7)),
SUMIFS(tb_Cartao_Credito_Detalhado[[Mês 9]:[Mês 9]],tb_Cartao_Credito_Detalhado[Mês/Ano],OFFSET(N$4,0,-8)),
SUMIFS(tb_Cartao_Credito_Detalhado[[Mês 10]:[Mês 10]],tb_Cartao_Credito_Detalhado[Mês/Ano],OFFSET(N$4,0,-9)),
SUMIFS(tb_Cartao_Credito_Detalhado[[Mês 11]:[Mês 11]],tb_Cartao_Credito_Detalhado[Mês/Ano],OFFSET(N$4,0,-10)),
SUMIFS(tb_Cartao_Credito_Detalhado[[Mês 12]:[Mês 12]],tb_Cartao_Credito_Detalhado[Mês/Ano],OFFSET(N$4,0,-11)),
SUMIFS(tb_Cartao_Credito_Detalhado[[Mês 13]:[Mês 13]],tb_Cartao_Credito_Detalhado[Mês/Ano],OFFSET(N$4,0,-12)),
SUMIFS(tb_Cartao_Credito_Detalhado[[Mês 14]:[Mês 14]],tb_Cartao_Credito_Detalhado[Mês/Ano],OFFSET(N$4,0,-13)),
SUMIFS(tb_Cartao_Credito_Detalhado[[Mês 15]:[Mês 15]],tb_Cartao_Credito_Detalhado[Mês/Ano],OFFSET(N$4,0,-14)),
SUMIFS(tb_Cartao_Credito_Detalhado[[Mês 16]:[Mês 16]],tb_Cartao_Credito_Detalhado[Mês/Ano],OFFSET(N$4,0,-15)),
SUMIFS(tb_Cartao_Credito_Detalhado[[Mês 17]:[Mês 17]],tb_Cartao_Credito_Detalhado[Mês/Ano],OFFSET(N$4,0,-16)),
SUMIFS(tb_Cartao_Credito_Detalhado[[Mês 18]:[Mês 18]],tb_Cartao_Credito_Detalhado[Mês/Ano],OFFSET(N$4,0,-17)),
SUMIFS(tb_Cartao_Credito_Detalhado[[Mês 19]:[Mês 19]],tb_Cartao_Credito_Detalhado[Mês/Ano],OFFSET(N$4,0,-18)),
SUMIFS(tb_Cartao_Credito_Detalhado[[Mês 20]:[Mês 20]],tb_Cartao_Credito_Detalhado[Mês/Ano],OFFSET(N$4,0,-19)),
SUMIFS(tb_Cartao_Credito_Detalhado[[Mês 21]:[Mês 21]],tb_Cartao_Credito_Detalhado[Mês/Ano],OFFSET(N$4,0,-20)),
SUMIFS(tb_Cartao_Credito_Detalhado[[Mês 22]:[Mês 22]],tb_Cartao_Credito_Detalhado[Mês/Ano],OFFSET(N$4,0,-21)),
SUMIFS(tb_Cartao_Credito_Detalhado[[Mês 23]:[Mês 23]],tb_Cartao_Credito_Detalhado[Mês/Ano],OFFSET(N$4,0,-22)),
SUMIFS(tb_Cartao_Credito_Detalhado[[Mês 24]:[Mês 24]],tb_Cartao_Credito_Detalhado[Mês/Ano],OFFSET(N$4,0,-23)),
SUMIFS(tb_Cartao_Credito_Detalhado[[Mês 25]:[Mês 25]],tb_Cartao_Credito_Detalhado[Mês/Ano],OFFSET(N$4,0,-24)),
SUMIFS(tb_Cartao_Credito_Detalhado[[Mês 26]:[Mês 26]],tb_Cartao_Credito_Detalhado[Mês/Ano],OFFSET(N$4,0,-25)),
SUMIFS(tb_Cartao_Credito_Detalhado[[Mês 27]:[Mês 27]],tb_Cartao_Credito_Detalhado[Mês/Ano],OFFSET(N$4,0,-26)),
SUMIFS(tb_Cartao_Credito_Detalhado[[Mês 28]:[Mês 28]],tb_Cartao_Credito_Detalhado[Mês/Ano],OFFSET(N$4,0,-27)),
SUMIFS(tb_Cartao_Credito_Detalhado[[Mês 29]:[Mês 29]],tb_Cartao_Credito_Detalhado[Mês/Ano],OFFSET(N$4,0,-28)),
SUMIFS(tb_Cartao_Credito_Detalhado[[Mês 30]:[Mês 30]],tb_Cartao_Credito_Detalhado[Mês/Ano],OFFSET(N$4,0,-29)),
SUMIFS(tb_Cartao_Credito_Detalhado[[Mês 31]:[Mês 31]],tb_Cartao_Credito_Detalhado[Mês/Ano],OFFSET(N$4,0,-30)),
SUMIFS(tb_Cartao_Credito_Detalhado[[Mês 32]:[Mês 32]],tb_Cartao_Credito_Detalhado[Mês/Ano],OFFSET(N$4,0,-31)),
SUMIFS(tb_Cartao_Credito_Detalhado[[Mês 33]:[Mês 33]],tb_Cartao_Credito_Detalhado[Mês/Ano],OFFSET(N$4,0,-32)),
SUMIFS(tb_Cartao_Credito_Detalhado[[Mês 34]:[Mês 34]],tb_Cartao_Credito_Detalhado[Mês/Ano],OFFSET(N$4,0,-33)),
SUMIFS(tb_Cartao_Credito_Detalhado[[Mês 35]:[Mês 35]],tb_Cartao_Credito_Detalhado[Mês/Ano],OFFSET(N$4,0,-34)),
SUMIFS(tb_Cartao_Credito_Detalhado[[Mês 36]:[Mês 36]],tb_Cartao_Credito_Detalhado[Mês/Ano],OFFSET(N$4,0,-35)),
SUMIFS(tb_Cartao_Credito_Detalhado[[Mês 37]:[Mês 37]],tb_Cartao_Credito_Detalhado[Mês/Ano],OFFSET(N$4,0,-36)),
SUMIFS(tb_Cartao_Credito_Detalhado[[Mês 38]:[Mês 38]],tb_Cartao_Credito_Detalhado[Mês/Ano],OFFSET(N$4,0,-37)),
SUMIFS(tb_Cartao_Credito_Detalhado[[Mês 39]:[Mês 39]],tb_Cartao_Credito_Detalhado[Mês/Ano],OFFSET(N$4,0,-38)),
SUMIFS(tb_Cartao_Credito_Detalhado[[Mês 40]:[Mês 40]],tb_Cartao_Credito_Detalhado[Mês/Ano],OFFSET(N$4,0,-39)),
SUMIFS(tb_Cartao_Credito_Detalhado[[Mês 41]:[Mês 41]],tb_Cartao_Credito_Detalhado[Mês/Ano],OFFSET(N$4,0,-40)),
SUMIFS(tb_Cartao_Credito_Detalhado[[Mês 42]:[Mês 42]],tb_Cartao_Credito_Detalhado[Mês/Ano],OFFSET(N$4,0,-41)),
SUMIFS(tb_Cartao_Credito_Detalhado[[Mês 43]:[Mês 43]],tb_Cartao_Credito_Detalhado[Mês/Ano],OFFSET(N$4,0,-42)),
SUMIFS(tb_Cartao_Credito_Detalhado[[Mês 44]:[Mês 44]],tb_Cartao_Credito_Detalhado[Mês/Ano],OFFSET(N$4,0,-43)),
SUMIFS(tb_Cartao_Credito_Detalhado[[Mês 45]:[Mês 45]],tb_Cartao_Credito_Detalhado[Mês/Ano],OFFSET(N$4,0,-44)),
)</calculatedColumnFormula>
    </tableColumn>
    <tableColumn id="12" name="dez-2017" dataDxfId="41">
      <calculatedColumnFormula>SUM(
SUMIFS(tb_Cartao_Credito_Detalhado[[Mês 1]:[Mês 1]],tb_Cartao_Credito_Detalhado[Mês/Ano],O$4),
SUMIFS(tb_Cartao_Credito_Detalhado[[Mês 2]:[Mês 2]],tb_Cartao_Credito_Detalhado[Mês/Ano],OFFSET(O$4,0,-1)),
SUMIFS(tb_Cartao_Credito_Detalhado[[Mês 3]:[Mês 3]],tb_Cartao_Credito_Detalhado[Mês/Ano],OFFSET(O$4,0,-2)),
SUMIFS(tb_Cartao_Credito_Detalhado[[Mês 4]:[Mês 4]],tb_Cartao_Credito_Detalhado[Mês/Ano],OFFSET(O$4,0,-3)),
SUMIFS(tb_Cartao_Credito_Detalhado[[Mês 5]:[Mês 5]],tb_Cartao_Credito_Detalhado[Mês/Ano],OFFSET(O$4,0,-4)),
SUMIFS(tb_Cartao_Credito_Detalhado[[Mês 6]:[Mês 6]],tb_Cartao_Credito_Detalhado[Mês/Ano],OFFSET(O$4,0,-5)),
SUMIFS(tb_Cartao_Credito_Detalhado[[Mês 7]:[Mês 7]],tb_Cartao_Credito_Detalhado[Mês/Ano],OFFSET(O$4,0,-6)),
SUMIFS(tb_Cartao_Credito_Detalhado[[Mês 8]:[Mês 8]],tb_Cartao_Credito_Detalhado[Mês/Ano],OFFSET(O$4,0,-7)),
SUMIFS(tb_Cartao_Credito_Detalhado[[Mês 9]:[Mês 9]],tb_Cartao_Credito_Detalhado[Mês/Ano],OFFSET(O$4,0,-8)),
SUMIFS(tb_Cartao_Credito_Detalhado[[Mês 10]:[Mês 10]],tb_Cartao_Credito_Detalhado[Mês/Ano],OFFSET(O$4,0,-9)),
SUMIFS(tb_Cartao_Credito_Detalhado[[Mês 11]:[Mês 11]],tb_Cartao_Credito_Detalhado[Mês/Ano],OFFSET(O$4,0,-10)),
SUMIFS(tb_Cartao_Credito_Detalhado[[Mês 12]:[Mês 12]],tb_Cartao_Credito_Detalhado[Mês/Ano],OFFSET(O$4,0,-11)),
SUMIFS(tb_Cartao_Credito_Detalhado[[Mês 13]:[Mês 13]],tb_Cartao_Credito_Detalhado[Mês/Ano],OFFSET(O$4,0,-12)),
SUMIFS(tb_Cartao_Credito_Detalhado[[Mês 14]:[Mês 14]],tb_Cartao_Credito_Detalhado[Mês/Ano],OFFSET(O$4,0,-13)),
SUMIFS(tb_Cartao_Credito_Detalhado[[Mês 15]:[Mês 15]],tb_Cartao_Credito_Detalhado[Mês/Ano],OFFSET(O$4,0,-14)),
SUMIFS(tb_Cartao_Credito_Detalhado[[Mês 16]:[Mês 16]],tb_Cartao_Credito_Detalhado[Mês/Ano],OFFSET(O$4,0,-15)),
SUMIFS(tb_Cartao_Credito_Detalhado[[Mês 17]:[Mês 17]],tb_Cartao_Credito_Detalhado[Mês/Ano],OFFSET(O$4,0,-16)),
SUMIFS(tb_Cartao_Credito_Detalhado[[Mês 18]:[Mês 18]],tb_Cartao_Credito_Detalhado[Mês/Ano],OFFSET(O$4,0,-17)),
SUMIFS(tb_Cartao_Credito_Detalhado[[Mês 19]:[Mês 19]],tb_Cartao_Credito_Detalhado[Mês/Ano],OFFSET(O$4,0,-18)),
SUMIFS(tb_Cartao_Credito_Detalhado[[Mês 20]:[Mês 20]],tb_Cartao_Credito_Detalhado[Mês/Ano],OFFSET(O$4,0,-19)),
SUMIFS(tb_Cartao_Credito_Detalhado[[Mês 21]:[Mês 21]],tb_Cartao_Credito_Detalhado[Mês/Ano],OFFSET(O$4,0,-20)),
SUMIFS(tb_Cartao_Credito_Detalhado[[Mês 22]:[Mês 22]],tb_Cartao_Credito_Detalhado[Mês/Ano],OFFSET(O$4,0,-21)),
SUMIFS(tb_Cartao_Credito_Detalhado[[Mês 23]:[Mês 23]],tb_Cartao_Credito_Detalhado[Mês/Ano],OFFSET(O$4,0,-22)),
SUMIFS(tb_Cartao_Credito_Detalhado[[Mês 24]:[Mês 24]],tb_Cartao_Credito_Detalhado[Mês/Ano],OFFSET(O$4,0,-23)),
SUMIFS(tb_Cartao_Credito_Detalhado[[Mês 25]:[Mês 25]],tb_Cartao_Credito_Detalhado[Mês/Ano],OFFSET(O$4,0,-24)),
SUMIFS(tb_Cartao_Credito_Detalhado[[Mês 26]:[Mês 26]],tb_Cartao_Credito_Detalhado[Mês/Ano],OFFSET(O$4,0,-25)),
SUMIFS(tb_Cartao_Credito_Detalhado[[Mês 27]:[Mês 27]],tb_Cartao_Credito_Detalhado[Mês/Ano],OFFSET(O$4,0,-26)),
SUMIFS(tb_Cartao_Credito_Detalhado[[Mês 28]:[Mês 28]],tb_Cartao_Credito_Detalhado[Mês/Ano],OFFSET(O$4,0,-27)),
SUMIFS(tb_Cartao_Credito_Detalhado[[Mês 29]:[Mês 29]],tb_Cartao_Credito_Detalhado[Mês/Ano],OFFSET(O$4,0,-28)),
SUMIFS(tb_Cartao_Credito_Detalhado[[Mês 30]:[Mês 30]],tb_Cartao_Credito_Detalhado[Mês/Ano],OFFSET(O$4,0,-29)),
SUMIFS(tb_Cartao_Credito_Detalhado[[Mês 31]:[Mês 31]],tb_Cartao_Credito_Detalhado[Mês/Ano],OFFSET(O$4,0,-30)),
SUMIFS(tb_Cartao_Credito_Detalhado[[Mês 32]:[Mês 32]],tb_Cartao_Credito_Detalhado[Mês/Ano],OFFSET(O$4,0,-31)),
SUMIFS(tb_Cartao_Credito_Detalhado[[Mês 33]:[Mês 33]],tb_Cartao_Credito_Detalhado[Mês/Ano],OFFSET(O$4,0,-32)),
SUMIFS(tb_Cartao_Credito_Detalhado[[Mês 34]:[Mês 34]],tb_Cartao_Credito_Detalhado[Mês/Ano],OFFSET(O$4,0,-33)),
SUMIFS(tb_Cartao_Credito_Detalhado[[Mês 35]:[Mês 35]],tb_Cartao_Credito_Detalhado[Mês/Ano],OFFSET(O$4,0,-34)),
SUMIFS(tb_Cartao_Credito_Detalhado[[Mês 36]:[Mês 36]],tb_Cartao_Credito_Detalhado[Mês/Ano],OFFSET(O$4,0,-35)),
SUMIFS(tb_Cartao_Credito_Detalhado[[Mês 37]:[Mês 37]],tb_Cartao_Credito_Detalhado[Mês/Ano],OFFSET(O$4,0,-36)),
SUMIFS(tb_Cartao_Credito_Detalhado[[Mês 38]:[Mês 38]],tb_Cartao_Credito_Detalhado[Mês/Ano],OFFSET(O$4,0,-37)),
SUMIFS(tb_Cartao_Credito_Detalhado[[Mês 39]:[Mês 39]],tb_Cartao_Credito_Detalhado[Mês/Ano],OFFSET(O$4,0,-38)),
SUMIFS(tb_Cartao_Credito_Detalhado[[Mês 40]:[Mês 40]],tb_Cartao_Credito_Detalhado[Mês/Ano],OFFSET(O$4,0,-39)),
SUMIFS(tb_Cartao_Credito_Detalhado[[Mês 41]:[Mês 41]],tb_Cartao_Credito_Detalhado[Mês/Ano],OFFSET(O$4,0,-40)),
SUMIFS(tb_Cartao_Credito_Detalhado[[Mês 42]:[Mês 42]],tb_Cartao_Credito_Detalhado[Mês/Ano],OFFSET(O$4,0,-41)),
SUMIFS(tb_Cartao_Credito_Detalhado[[Mês 43]:[Mês 43]],tb_Cartao_Credito_Detalhado[Mês/Ano],OFFSET(O$4,0,-42)),
SUMIFS(tb_Cartao_Credito_Detalhado[[Mês 44]:[Mês 44]],tb_Cartao_Credito_Detalhado[Mês/Ano],OFFSET(O$4,0,-43)),
SUMIFS(tb_Cartao_Credito_Detalhado[[Mês 45]:[Mês 45]],tb_Cartao_Credito_Detalhado[Mês/Ano],OFFSET(O$4,0,-44)),
)</calculatedColumnFormula>
    </tableColumn>
    <tableColumn id="15" name="jan-2018" dataDxfId="36">
      <calculatedColumnFormula>SUM(
SUMIFS(tb_Cartao_Credito_Detalhado[[Mês 1]:[Mês 1]],tb_Cartao_Credito_Detalhado[Mês/Ano],P$4),
SUMIFS(tb_Cartao_Credito_Detalhado[[Mês 2]:[Mês 2]],tb_Cartao_Credito_Detalhado[Mês/Ano],OFFSET(P$4,0,-1)),
SUMIFS(tb_Cartao_Credito_Detalhado[[Mês 3]:[Mês 3]],tb_Cartao_Credito_Detalhado[Mês/Ano],OFFSET(P$4,0,-2)),
SUMIFS(tb_Cartao_Credito_Detalhado[[Mês 4]:[Mês 4]],tb_Cartao_Credito_Detalhado[Mês/Ano],OFFSET(P$4,0,-3)),
SUMIFS(tb_Cartao_Credito_Detalhado[[Mês 5]:[Mês 5]],tb_Cartao_Credito_Detalhado[Mês/Ano],OFFSET(P$4,0,-4)),
SUMIFS(tb_Cartao_Credito_Detalhado[[Mês 6]:[Mês 6]],tb_Cartao_Credito_Detalhado[Mês/Ano],OFFSET(P$4,0,-5)),
SUMIFS(tb_Cartao_Credito_Detalhado[[Mês 7]:[Mês 7]],tb_Cartao_Credito_Detalhado[Mês/Ano],OFFSET(P$4,0,-6)),
SUMIFS(tb_Cartao_Credito_Detalhado[[Mês 8]:[Mês 8]],tb_Cartao_Credito_Detalhado[Mês/Ano],OFFSET(P$4,0,-7)),
SUMIFS(tb_Cartao_Credito_Detalhado[[Mês 9]:[Mês 9]],tb_Cartao_Credito_Detalhado[Mês/Ano],OFFSET(P$4,0,-8)),
SUMIFS(tb_Cartao_Credito_Detalhado[[Mês 10]:[Mês 10]],tb_Cartao_Credito_Detalhado[Mês/Ano],OFFSET(P$4,0,-9)),
SUMIFS(tb_Cartao_Credito_Detalhado[[Mês 11]:[Mês 11]],tb_Cartao_Credito_Detalhado[Mês/Ano],OFFSET(P$4,0,-10)),
SUMIFS(tb_Cartao_Credito_Detalhado[[Mês 12]:[Mês 12]],tb_Cartao_Credito_Detalhado[Mês/Ano],OFFSET(P$4,0,-11)),
SUMIFS(tb_Cartao_Credito_Detalhado[[Mês 13]:[Mês 13]],tb_Cartao_Credito_Detalhado[Mês/Ano],OFFSET(P$4,0,-12)),
SUMIFS(tb_Cartao_Credito_Detalhado[[Mês 14]:[Mês 14]],tb_Cartao_Credito_Detalhado[Mês/Ano],OFFSET(P$4,0,-13)),
SUMIFS(tb_Cartao_Credito_Detalhado[[Mês 15]:[Mês 15]],tb_Cartao_Credito_Detalhado[Mês/Ano],OFFSET(P$4,0,-14)),
SUMIFS(tb_Cartao_Credito_Detalhado[[Mês 16]:[Mês 16]],tb_Cartao_Credito_Detalhado[Mês/Ano],OFFSET(P$4,0,-15)),
SUMIFS(tb_Cartao_Credito_Detalhado[[Mês 17]:[Mês 17]],tb_Cartao_Credito_Detalhado[Mês/Ano],OFFSET(P$4,0,-16)),
SUMIFS(tb_Cartao_Credito_Detalhado[[Mês 18]:[Mês 18]],tb_Cartao_Credito_Detalhado[Mês/Ano],OFFSET(P$4,0,-17)),
SUMIFS(tb_Cartao_Credito_Detalhado[[Mês 19]:[Mês 19]],tb_Cartao_Credito_Detalhado[Mês/Ano],OFFSET(P$4,0,-18)),
SUMIFS(tb_Cartao_Credito_Detalhado[[Mês 20]:[Mês 20]],tb_Cartao_Credito_Detalhado[Mês/Ano],OFFSET(P$4,0,-19)),
SUMIFS(tb_Cartao_Credito_Detalhado[[Mês 21]:[Mês 21]],tb_Cartao_Credito_Detalhado[Mês/Ano],OFFSET(P$4,0,-20)),
SUMIFS(tb_Cartao_Credito_Detalhado[[Mês 22]:[Mês 22]],tb_Cartao_Credito_Detalhado[Mês/Ano],OFFSET(P$4,0,-21)),
SUMIFS(tb_Cartao_Credito_Detalhado[[Mês 23]:[Mês 23]],tb_Cartao_Credito_Detalhado[Mês/Ano],OFFSET(P$4,0,-22)),
SUMIFS(tb_Cartao_Credito_Detalhado[[Mês 24]:[Mês 24]],tb_Cartao_Credito_Detalhado[Mês/Ano],OFFSET(P$4,0,-23)),
SUMIFS(tb_Cartao_Credito_Detalhado[[Mês 25]:[Mês 25]],tb_Cartao_Credito_Detalhado[Mês/Ano],OFFSET(P$4,0,-24)),
SUMIFS(tb_Cartao_Credito_Detalhado[[Mês 26]:[Mês 26]],tb_Cartao_Credito_Detalhado[Mês/Ano],OFFSET(P$4,0,-25)),
SUMIFS(tb_Cartao_Credito_Detalhado[[Mês 27]:[Mês 27]],tb_Cartao_Credito_Detalhado[Mês/Ano],OFFSET(P$4,0,-26)),
SUMIFS(tb_Cartao_Credito_Detalhado[[Mês 28]:[Mês 28]],tb_Cartao_Credito_Detalhado[Mês/Ano],OFFSET(P$4,0,-27)),
SUMIFS(tb_Cartao_Credito_Detalhado[[Mês 29]:[Mês 29]],tb_Cartao_Credito_Detalhado[Mês/Ano],OFFSET(P$4,0,-28)),
SUMIFS(tb_Cartao_Credito_Detalhado[[Mês 30]:[Mês 30]],tb_Cartao_Credito_Detalhado[Mês/Ano],OFFSET(P$4,0,-29)),
SUMIFS(tb_Cartao_Credito_Detalhado[[Mês 31]:[Mês 31]],tb_Cartao_Credito_Detalhado[Mês/Ano],OFFSET(P$4,0,-30)),
SUMIFS(tb_Cartao_Credito_Detalhado[[Mês 32]:[Mês 32]],tb_Cartao_Credito_Detalhado[Mês/Ano],OFFSET(P$4,0,-31)),
SUMIFS(tb_Cartao_Credito_Detalhado[[Mês 33]:[Mês 33]],tb_Cartao_Credito_Detalhado[Mês/Ano],OFFSET(P$4,0,-32)),
SUMIFS(tb_Cartao_Credito_Detalhado[[Mês 34]:[Mês 34]],tb_Cartao_Credito_Detalhado[Mês/Ano],OFFSET(P$4,0,-33)),
SUMIFS(tb_Cartao_Credito_Detalhado[[Mês 35]:[Mês 35]],tb_Cartao_Credito_Detalhado[Mês/Ano],OFFSET(P$4,0,-34)),
SUMIFS(tb_Cartao_Credito_Detalhado[[Mês 36]:[Mês 36]],tb_Cartao_Credito_Detalhado[Mês/Ano],OFFSET(P$4,0,-35)),
SUMIFS(tb_Cartao_Credito_Detalhado[[Mês 37]:[Mês 37]],tb_Cartao_Credito_Detalhado[Mês/Ano],OFFSET(P$4,0,-36)),
SUMIFS(tb_Cartao_Credito_Detalhado[[Mês 38]:[Mês 38]],tb_Cartao_Credito_Detalhado[Mês/Ano],OFFSET(P$4,0,-37)),
SUMIFS(tb_Cartao_Credito_Detalhado[[Mês 39]:[Mês 39]],tb_Cartao_Credito_Detalhado[Mês/Ano],OFFSET(P$4,0,-38)),
SUMIFS(tb_Cartao_Credito_Detalhado[[Mês 40]:[Mês 40]],tb_Cartao_Credito_Detalhado[Mês/Ano],OFFSET(P$4,0,-39)),
SUMIFS(tb_Cartao_Credito_Detalhado[[Mês 41]:[Mês 41]],tb_Cartao_Credito_Detalhado[Mês/Ano],OFFSET(P$4,0,-40)),
SUMIFS(tb_Cartao_Credito_Detalhado[[Mês 42]:[Mês 42]],tb_Cartao_Credito_Detalhado[Mês/Ano],OFFSET(P$4,0,-41)),
SUMIFS(tb_Cartao_Credito_Detalhado[[Mês 43]:[Mês 43]],tb_Cartao_Credito_Detalhado[Mês/Ano],OFFSET(P$4,0,-42)),
SUMIFS(tb_Cartao_Credito_Detalhado[[Mês 44]:[Mês 44]],tb_Cartao_Credito_Detalhado[Mês/Ano],OFFSET(P$4,0,-43)),
SUMIFS(tb_Cartao_Credito_Detalhado[[Mês 45]:[Mês 45]],tb_Cartao_Credito_Detalhado[Mês/Ano],OFFSET(P$4,0,-44)),
)</calculatedColumnFormula>
    </tableColumn>
    <tableColumn id="16" name="fev-2018" dataDxfId="35">
      <calculatedColumnFormula>SUM(
SUMIFS(tb_Cartao_Credito_Detalhado[[Mês 1]:[Mês 1]],tb_Cartao_Credito_Detalhado[Mês/Ano],Q$4),
SUMIFS(tb_Cartao_Credito_Detalhado[[Mês 2]:[Mês 2]],tb_Cartao_Credito_Detalhado[Mês/Ano],OFFSET(Q$4,0,-1)),
SUMIFS(tb_Cartao_Credito_Detalhado[[Mês 3]:[Mês 3]],tb_Cartao_Credito_Detalhado[Mês/Ano],OFFSET(Q$4,0,-2)),
SUMIFS(tb_Cartao_Credito_Detalhado[[Mês 4]:[Mês 4]],tb_Cartao_Credito_Detalhado[Mês/Ano],OFFSET(Q$4,0,-3)),
SUMIFS(tb_Cartao_Credito_Detalhado[[Mês 5]:[Mês 5]],tb_Cartao_Credito_Detalhado[Mês/Ano],OFFSET(Q$4,0,-4)),
SUMIFS(tb_Cartao_Credito_Detalhado[[Mês 6]:[Mês 6]],tb_Cartao_Credito_Detalhado[Mês/Ano],OFFSET(Q$4,0,-5)),
SUMIFS(tb_Cartao_Credito_Detalhado[[Mês 7]:[Mês 7]],tb_Cartao_Credito_Detalhado[Mês/Ano],OFFSET(Q$4,0,-6)),
SUMIFS(tb_Cartao_Credito_Detalhado[[Mês 8]:[Mês 8]],tb_Cartao_Credito_Detalhado[Mês/Ano],OFFSET(Q$4,0,-7)),
SUMIFS(tb_Cartao_Credito_Detalhado[[Mês 9]:[Mês 9]],tb_Cartao_Credito_Detalhado[Mês/Ano],OFFSET(Q$4,0,-8)),
SUMIFS(tb_Cartao_Credito_Detalhado[[Mês 10]:[Mês 10]],tb_Cartao_Credito_Detalhado[Mês/Ano],OFFSET(Q$4,0,-9)),
SUMIFS(tb_Cartao_Credito_Detalhado[[Mês 11]:[Mês 11]],tb_Cartao_Credito_Detalhado[Mês/Ano],OFFSET(Q$4,0,-10)),
SUMIFS(tb_Cartao_Credito_Detalhado[[Mês 12]:[Mês 12]],tb_Cartao_Credito_Detalhado[Mês/Ano],OFFSET(Q$4,0,-11)),
SUMIFS(tb_Cartao_Credito_Detalhado[[Mês 13]:[Mês 13]],tb_Cartao_Credito_Detalhado[Mês/Ano],OFFSET(Q$4,0,-12)),
SUMIFS(tb_Cartao_Credito_Detalhado[[Mês 14]:[Mês 14]],tb_Cartao_Credito_Detalhado[Mês/Ano],OFFSET(Q$4,0,-13)),
SUMIFS(tb_Cartao_Credito_Detalhado[[Mês 15]:[Mês 15]],tb_Cartao_Credito_Detalhado[Mês/Ano],OFFSET(Q$4,0,-14)),
SUMIFS(tb_Cartao_Credito_Detalhado[[Mês 16]:[Mês 16]],tb_Cartao_Credito_Detalhado[Mês/Ano],OFFSET(Q$4,0,-15)),
SUMIFS(tb_Cartao_Credito_Detalhado[[Mês 17]:[Mês 17]],tb_Cartao_Credito_Detalhado[Mês/Ano],OFFSET(Q$4,0,-16)),
SUMIFS(tb_Cartao_Credito_Detalhado[[Mês 18]:[Mês 18]],tb_Cartao_Credito_Detalhado[Mês/Ano],OFFSET(Q$4,0,-17)),
SUMIFS(tb_Cartao_Credito_Detalhado[[Mês 19]:[Mês 19]],tb_Cartao_Credito_Detalhado[Mês/Ano],OFFSET(Q$4,0,-18)),
SUMIFS(tb_Cartao_Credito_Detalhado[[Mês 20]:[Mês 20]],tb_Cartao_Credito_Detalhado[Mês/Ano],OFFSET(Q$4,0,-19)),
SUMIFS(tb_Cartao_Credito_Detalhado[[Mês 21]:[Mês 21]],tb_Cartao_Credito_Detalhado[Mês/Ano],OFFSET(Q$4,0,-20)),
SUMIFS(tb_Cartao_Credito_Detalhado[[Mês 22]:[Mês 22]],tb_Cartao_Credito_Detalhado[Mês/Ano],OFFSET(Q$4,0,-21)),
SUMIFS(tb_Cartao_Credito_Detalhado[[Mês 23]:[Mês 23]],tb_Cartao_Credito_Detalhado[Mês/Ano],OFFSET(Q$4,0,-22)),
SUMIFS(tb_Cartao_Credito_Detalhado[[Mês 24]:[Mês 24]],tb_Cartao_Credito_Detalhado[Mês/Ano],OFFSET(Q$4,0,-23)),
SUMIFS(tb_Cartao_Credito_Detalhado[[Mês 25]:[Mês 25]],tb_Cartao_Credito_Detalhado[Mês/Ano],OFFSET(Q$4,0,-24)),
SUMIFS(tb_Cartao_Credito_Detalhado[[Mês 26]:[Mês 26]],tb_Cartao_Credito_Detalhado[Mês/Ano],OFFSET(Q$4,0,-25)),
SUMIFS(tb_Cartao_Credito_Detalhado[[Mês 27]:[Mês 27]],tb_Cartao_Credito_Detalhado[Mês/Ano],OFFSET(Q$4,0,-26)),
SUMIFS(tb_Cartao_Credito_Detalhado[[Mês 28]:[Mês 28]],tb_Cartao_Credito_Detalhado[Mês/Ano],OFFSET(Q$4,0,-27)),
SUMIFS(tb_Cartao_Credito_Detalhado[[Mês 29]:[Mês 29]],tb_Cartao_Credito_Detalhado[Mês/Ano],OFFSET(Q$4,0,-28)),
SUMIFS(tb_Cartao_Credito_Detalhado[[Mês 30]:[Mês 30]],tb_Cartao_Credito_Detalhado[Mês/Ano],OFFSET(Q$4,0,-29)),
SUMIFS(tb_Cartao_Credito_Detalhado[[Mês 31]:[Mês 31]],tb_Cartao_Credito_Detalhado[Mês/Ano],OFFSET(Q$4,0,-30)),
SUMIFS(tb_Cartao_Credito_Detalhado[[Mês 32]:[Mês 32]],tb_Cartao_Credito_Detalhado[Mês/Ano],OFFSET(Q$4,0,-31)),
SUMIFS(tb_Cartao_Credito_Detalhado[[Mês 33]:[Mês 33]],tb_Cartao_Credito_Detalhado[Mês/Ano],OFFSET(Q$4,0,-32)),
SUMIFS(tb_Cartao_Credito_Detalhado[[Mês 34]:[Mês 34]],tb_Cartao_Credito_Detalhado[Mês/Ano],OFFSET(Q$4,0,-33)),
SUMIFS(tb_Cartao_Credito_Detalhado[[Mês 35]:[Mês 35]],tb_Cartao_Credito_Detalhado[Mês/Ano],OFFSET(Q$4,0,-34)),
SUMIFS(tb_Cartao_Credito_Detalhado[[Mês 36]:[Mês 36]],tb_Cartao_Credito_Detalhado[Mês/Ano],OFFSET(Q$4,0,-35)),
SUMIFS(tb_Cartao_Credito_Detalhado[[Mês 37]:[Mês 37]],tb_Cartao_Credito_Detalhado[Mês/Ano],OFFSET(Q$4,0,-36)),
SUMIFS(tb_Cartao_Credito_Detalhado[[Mês 38]:[Mês 38]],tb_Cartao_Credito_Detalhado[Mês/Ano],OFFSET(Q$4,0,-37)),
SUMIFS(tb_Cartao_Credito_Detalhado[[Mês 39]:[Mês 39]],tb_Cartao_Credito_Detalhado[Mês/Ano],OFFSET(Q$4,0,-38)),
SUMIFS(tb_Cartao_Credito_Detalhado[[Mês 40]:[Mês 40]],tb_Cartao_Credito_Detalhado[Mês/Ano],OFFSET(Q$4,0,-39)),
SUMIFS(tb_Cartao_Credito_Detalhado[[Mês 41]:[Mês 41]],tb_Cartao_Credito_Detalhado[Mês/Ano],OFFSET(Q$4,0,-40)),
SUMIFS(tb_Cartao_Credito_Detalhado[[Mês 42]:[Mês 42]],tb_Cartao_Credito_Detalhado[Mês/Ano],OFFSET(Q$4,0,-41)),
SUMIFS(tb_Cartao_Credito_Detalhado[[Mês 43]:[Mês 43]],tb_Cartao_Credito_Detalhado[Mês/Ano],OFFSET(Q$4,0,-42)),
SUMIFS(tb_Cartao_Credito_Detalhado[[Mês 44]:[Mês 44]],tb_Cartao_Credito_Detalhado[Mês/Ano],OFFSET(Q$4,0,-43)),
SUMIFS(tb_Cartao_Credito_Detalhado[[Mês 45]:[Mês 45]],tb_Cartao_Credito_Detalhado[Mês/Ano],OFFSET(Q$4,0,-44)),
)</calculatedColumnFormula>
    </tableColumn>
    <tableColumn id="17" name="mar-2018" dataDxfId="34">
      <calculatedColumnFormula>SUM(
SUMIFS(tb_Cartao_Credito_Detalhado[[Mês 1]:[Mês 1]],tb_Cartao_Credito_Detalhado[Mês/Ano],R$4),
SUMIFS(tb_Cartao_Credito_Detalhado[[Mês 2]:[Mês 2]],tb_Cartao_Credito_Detalhado[Mês/Ano],OFFSET(R$4,0,-1)),
SUMIFS(tb_Cartao_Credito_Detalhado[[Mês 3]:[Mês 3]],tb_Cartao_Credito_Detalhado[Mês/Ano],OFFSET(R$4,0,-2)),
SUMIFS(tb_Cartao_Credito_Detalhado[[Mês 4]:[Mês 4]],tb_Cartao_Credito_Detalhado[Mês/Ano],OFFSET(R$4,0,-3)),
SUMIFS(tb_Cartao_Credito_Detalhado[[Mês 5]:[Mês 5]],tb_Cartao_Credito_Detalhado[Mês/Ano],OFFSET(R$4,0,-4)),
SUMIFS(tb_Cartao_Credito_Detalhado[[Mês 6]:[Mês 6]],tb_Cartao_Credito_Detalhado[Mês/Ano],OFFSET(R$4,0,-5)),
SUMIFS(tb_Cartao_Credito_Detalhado[[Mês 7]:[Mês 7]],tb_Cartao_Credito_Detalhado[Mês/Ano],OFFSET(R$4,0,-6)),
SUMIFS(tb_Cartao_Credito_Detalhado[[Mês 8]:[Mês 8]],tb_Cartao_Credito_Detalhado[Mês/Ano],OFFSET(R$4,0,-7)),
SUMIFS(tb_Cartao_Credito_Detalhado[[Mês 9]:[Mês 9]],tb_Cartao_Credito_Detalhado[Mês/Ano],OFFSET(R$4,0,-8)),
SUMIFS(tb_Cartao_Credito_Detalhado[[Mês 10]:[Mês 10]],tb_Cartao_Credito_Detalhado[Mês/Ano],OFFSET(R$4,0,-9)),
SUMIFS(tb_Cartao_Credito_Detalhado[[Mês 11]:[Mês 11]],tb_Cartao_Credito_Detalhado[Mês/Ano],OFFSET(R$4,0,-10)),
SUMIFS(tb_Cartao_Credito_Detalhado[[Mês 12]:[Mês 12]],tb_Cartao_Credito_Detalhado[Mês/Ano],OFFSET(R$4,0,-11)),
SUMIFS(tb_Cartao_Credito_Detalhado[[Mês 13]:[Mês 13]],tb_Cartao_Credito_Detalhado[Mês/Ano],OFFSET(R$4,0,-12)),
SUMIFS(tb_Cartao_Credito_Detalhado[[Mês 14]:[Mês 14]],tb_Cartao_Credito_Detalhado[Mês/Ano],OFFSET(R$4,0,-13)),
SUMIFS(tb_Cartao_Credito_Detalhado[[Mês 15]:[Mês 15]],tb_Cartao_Credito_Detalhado[Mês/Ano],OFFSET(R$4,0,-14)),
SUMIFS(tb_Cartao_Credito_Detalhado[[Mês 16]:[Mês 16]],tb_Cartao_Credito_Detalhado[Mês/Ano],OFFSET(R$4,0,-15)),
SUMIFS(tb_Cartao_Credito_Detalhado[[Mês 17]:[Mês 17]],tb_Cartao_Credito_Detalhado[Mês/Ano],OFFSET(R$4,0,-16)),
SUMIFS(tb_Cartao_Credito_Detalhado[[Mês 18]:[Mês 18]],tb_Cartao_Credito_Detalhado[Mês/Ano],OFFSET(R$4,0,-17)),
SUMIFS(tb_Cartao_Credito_Detalhado[[Mês 19]:[Mês 19]],tb_Cartao_Credito_Detalhado[Mês/Ano],OFFSET(R$4,0,-18)),
SUMIFS(tb_Cartao_Credito_Detalhado[[Mês 20]:[Mês 20]],tb_Cartao_Credito_Detalhado[Mês/Ano],OFFSET(R$4,0,-19)),
SUMIFS(tb_Cartao_Credito_Detalhado[[Mês 21]:[Mês 21]],tb_Cartao_Credito_Detalhado[Mês/Ano],OFFSET(R$4,0,-20)),
SUMIFS(tb_Cartao_Credito_Detalhado[[Mês 22]:[Mês 22]],tb_Cartao_Credito_Detalhado[Mês/Ano],OFFSET(R$4,0,-21)),
SUMIFS(tb_Cartao_Credito_Detalhado[[Mês 23]:[Mês 23]],tb_Cartao_Credito_Detalhado[Mês/Ano],OFFSET(R$4,0,-22)),
SUMIFS(tb_Cartao_Credito_Detalhado[[Mês 24]:[Mês 24]],tb_Cartao_Credito_Detalhado[Mês/Ano],OFFSET(R$4,0,-23)),
SUMIFS(tb_Cartao_Credito_Detalhado[[Mês 25]:[Mês 25]],tb_Cartao_Credito_Detalhado[Mês/Ano],OFFSET(R$4,0,-24)),
SUMIFS(tb_Cartao_Credito_Detalhado[[Mês 26]:[Mês 26]],tb_Cartao_Credito_Detalhado[Mês/Ano],OFFSET(R$4,0,-25)),
SUMIFS(tb_Cartao_Credito_Detalhado[[Mês 27]:[Mês 27]],tb_Cartao_Credito_Detalhado[Mês/Ano],OFFSET(R$4,0,-26)),
SUMIFS(tb_Cartao_Credito_Detalhado[[Mês 28]:[Mês 28]],tb_Cartao_Credito_Detalhado[Mês/Ano],OFFSET(R$4,0,-27)),
SUMIFS(tb_Cartao_Credito_Detalhado[[Mês 29]:[Mês 29]],tb_Cartao_Credito_Detalhado[Mês/Ano],OFFSET(R$4,0,-28)),
SUMIFS(tb_Cartao_Credito_Detalhado[[Mês 30]:[Mês 30]],tb_Cartao_Credito_Detalhado[Mês/Ano],OFFSET(R$4,0,-29)),
SUMIFS(tb_Cartao_Credito_Detalhado[[Mês 31]:[Mês 31]],tb_Cartao_Credito_Detalhado[Mês/Ano],OFFSET(R$4,0,-30)),
SUMIFS(tb_Cartao_Credito_Detalhado[[Mês 32]:[Mês 32]],tb_Cartao_Credito_Detalhado[Mês/Ano],OFFSET(R$4,0,-31)),
SUMIFS(tb_Cartao_Credito_Detalhado[[Mês 33]:[Mês 33]],tb_Cartao_Credito_Detalhado[Mês/Ano],OFFSET(R$4,0,-32)),
SUMIFS(tb_Cartao_Credito_Detalhado[[Mês 34]:[Mês 34]],tb_Cartao_Credito_Detalhado[Mês/Ano],OFFSET(R$4,0,-33)),
SUMIFS(tb_Cartao_Credito_Detalhado[[Mês 35]:[Mês 35]],tb_Cartao_Credito_Detalhado[Mês/Ano],OFFSET(R$4,0,-34)),
SUMIFS(tb_Cartao_Credito_Detalhado[[Mês 36]:[Mês 36]],tb_Cartao_Credito_Detalhado[Mês/Ano],OFFSET(R$4,0,-35)),
SUMIFS(tb_Cartao_Credito_Detalhado[[Mês 37]:[Mês 37]],tb_Cartao_Credito_Detalhado[Mês/Ano],OFFSET(R$4,0,-36)),
SUMIFS(tb_Cartao_Credito_Detalhado[[Mês 38]:[Mês 38]],tb_Cartao_Credito_Detalhado[Mês/Ano],OFFSET(R$4,0,-37)),
SUMIFS(tb_Cartao_Credito_Detalhado[[Mês 39]:[Mês 39]],tb_Cartao_Credito_Detalhado[Mês/Ano],OFFSET(R$4,0,-38)),
SUMIFS(tb_Cartao_Credito_Detalhado[[Mês 40]:[Mês 40]],tb_Cartao_Credito_Detalhado[Mês/Ano],OFFSET(R$4,0,-39)),
SUMIFS(tb_Cartao_Credito_Detalhado[[Mês 41]:[Mês 41]],tb_Cartao_Credito_Detalhado[Mês/Ano],OFFSET(R$4,0,-40)),
SUMIFS(tb_Cartao_Credito_Detalhado[[Mês 42]:[Mês 42]],tb_Cartao_Credito_Detalhado[Mês/Ano],OFFSET(R$4,0,-41)),
SUMIFS(tb_Cartao_Credito_Detalhado[[Mês 43]:[Mês 43]],tb_Cartao_Credito_Detalhado[Mês/Ano],OFFSET(R$4,0,-42)),
SUMIFS(tb_Cartao_Credito_Detalhado[[Mês 44]:[Mês 44]],tb_Cartao_Credito_Detalhado[Mês/Ano],OFFSET(R$4,0,-43)),
SUMIFS(tb_Cartao_Credito_Detalhado[[Mês 45]:[Mês 45]],tb_Cartao_Credito_Detalhado[Mês/Ano],OFFSET(R$4,0,-44)),
)</calculatedColumnFormula>
    </tableColumn>
    <tableColumn id="18" name="abr-2018" dataDxfId="33">
      <calculatedColumnFormula>SUM(
SUMIFS(tb_Cartao_Credito_Detalhado[[Mês 1]:[Mês 1]],tb_Cartao_Credito_Detalhado[Mês/Ano],S$4),
SUMIFS(tb_Cartao_Credito_Detalhado[[Mês 2]:[Mês 2]],tb_Cartao_Credito_Detalhado[Mês/Ano],OFFSET(S$4,0,-1)),
SUMIFS(tb_Cartao_Credito_Detalhado[[Mês 3]:[Mês 3]],tb_Cartao_Credito_Detalhado[Mês/Ano],OFFSET(S$4,0,-2)),
SUMIFS(tb_Cartao_Credito_Detalhado[[Mês 4]:[Mês 4]],tb_Cartao_Credito_Detalhado[Mês/Ano],OFFSET(S$4,0,-3)),
SUMIFS(tb_Cartao_Credito_Detalhado[[Mês 5]:[Mês 5]],tb_Cartao_Credito_Detalhado[Mês/Ano],OFFSET(S$4,0,-4)),
SUMIFS(tb_Cartao_Credito_Detalhado[[Mês 6]:[Mês 6]],tb_Cartao_Credito_Detalhado[Mês/Ano],OFFSET(S$4,0,-5)),
SUMIFS(tb_Cartao_Credito_Detalhado[[Mês 7]:[Mês 7]],tb_Cartao_Credito_Detalhado[Mês/Ano],OFFSET(S$4,0,-6)),
SUMIFS(tb_Cartao_Credito_Detalhado[[Mês 8]:[Mês 8]],tb_Cartao_Credito_Detalhado[Mês/Ano],OFFSET(S$4,0,-7)),
SUMIFS(tb_Cartao_Credito_Detalhado[[Mês 9]:[Mês 9]],tb_Cartao_Credito_Detalhado[Mês/Ano],OFFSET(S$4,0,-8)),
SUMIFS(tb_Cartao_Credito_Detalhado[[Mês 10]:[Mês 10]],tb_Cartao_Credito_Detalhado[Mês/Ano],OFFSET(S$4,0,-9)),
SUMIFS(tb_Cartao_Credito_Detalhado[[Mês 11]:[Mês 11]],tb_Cartao_Credito_Detalhado[Mês/Ano],OFFSET(S$4,0,-10)),
SUMIFS(tb_Cartao_Credito_Detalhado[[Mês 12]:[Mês 12]],tb_Cartao_Credito_Detalhado[Mês/Ano],OFFSET(S$4,0,-11)),
SUMIFS(tb_Cartao_Credito_Detalhado[[Mês 13]:[Mês 13]],tb_Cartao_Credito_Detalhado[Mês/Ano],OFFSET(S$4,0,-12)),
SUMIFS(tb_Cartao_Credito_Detalhado[[Mês 14]:[Mês 14]],tb_Cartao_Credito_Detalhado[Mês/Ano],OFFSET(S$4,0,-13)),
SUMIFS(tb_Cartao_Credito_Detalhado[[Mês 15]:[Mês 15]],tb_Cartao_Credito_Detalhado[Mês/Ano],OFFSET(S$4,0,-14)),
SUMIFS(tb_Cartao_Credito_Detalhado[[Mês 16]:[Mês 16]],tb_Cartao_Credito_Detalhado[Mês/Ano],OFFSET(S$4,0,-15)),
SUMIFS(tb_Cartao_Credito_Detalhado[[Mês 17]:[Mês 17]],tb_Cartao_Credito_Detalhado[Mês/Ano],OFFSET(S$4,0,-16)),
SUMIFS(tb_Cartao_Credito_Detalhado[[Mês 18]:[Mês 18]],tb_Cartao_Credito_Detalhado[Mês/Ano],OFFSET(S$4,0,-17)),
SUMIFS(tb_Cartao_Credito_Detalhado[[Mês 19]:[Mês 19]],tb_Cartao_Credito_Detalhado[Mês/Ano],OFFSET(S$4,0,-18)),
SUMIFS(tb_Cartao_Credito_Detalhado[[Mês 20]:[Mês 20]],tb_Cartao_Credito_Detalhado[Mês/Ano],OFFSET(S$4,0,-19)),
SUMIFS(tb_Cartao_Credito_Detalhado[[Mês 21]:[Mês 21]],tb_Cartao_Credito_Detalhado[Mês/Ano],OFFSET(S$4,0,-20)),
SUMIFS(tb_Cartao_Credito_Detalhado[[Mês 22]:[Mês 22]],tb_Cartao_Credito_Detalhado[Mês/Ano],OFFSET(S$4,0,-21)),
SUMIFS(tb_Cartao_Credito_Detalhado[[Mês 23]:[Mês 23]],tb_Cartao_Credito_Detalhado[Mês/Ano],OFFSET(S$4,0,-22)),
SUMIFS(tb_Cartao_Credito_Detalhado[[Mês 24]:[Mês 24]],tb_Cartao_Credito_Detalhado[Mês/Ano],OFFSET(S$4,0,-23)),
SUMIFS(tb_Cartao_Credito_Detalhado[[Mês 25]:[Mês 25]],tb_Cartao_Credito_Detalhado[Mês/Ano],OFFSET(S$4,0,-24)),
SUMIFS(tb_Cartao_Credito_Detalhado[[Mês 26]:[Mês 26]],tb_Cartao_Credito_Detalhado[Mês/Ano],OFFSET(S$4,0,-25)),
SUMIFS(tb_Cartao_Credito_Detalhado[[Mês 27]:[Mês 27]],tb_Cartao_Credito_Detalhado[Mês/Ano],OFFSET(S$4,0,-26)),
SUMIFS(tb_Cartao_Credito_Detalhado[[Mês 28]:[Mês 28]],tb_Cartao_Credito_Detalhado[Mês/Ano],OFFSET(S$4,0,-27)),
SUMIFS(tb_Cartao_Credito_Detalhado[[Mês 29]:[Mês 29]],tb_Cartao_Credito_Detalhado[Mês/Ano],OFFSET(S$4,0,-28)),
SUMIFS(tb_Cartao_Credito_Detalhado[[Mês 30]:[Mês 30]],tb_Cartao_Credito_Detalhado[Mês/Ano],OFFSET(S$4,0,-29)),
SUMIFS(tb_Cartao_Credito_Detalhado[[Mês 31]:[Mês 31]],tb_Cartao_Credito_Detalhado[Mês/Ano],OFFSET(S$4,0,-30)),
SUMIFS(tb_Cartao_Credito_Detalhado[[Mês 32]:[Mês 32]],tb_Cartao_Credito_Detalhado[Mês/Ano],OFFSET(S$4,0,-31)),
SUMIFS(tb_Cartao_Credito_Detalhado[[Mês 33]:[Mês 33]],tb_Cartao_Credito_Detalhado[Mês/Ano],OFFSET(S$4,0,-32)),
SUMIFS(tb_Cartao_Credito_Detalhado[[Mês 34]:[Mês 34]],tb_Cartao_Credito_Detalhado[Mês/Ano],OFFSET(S$4,0,-33)),
SUMIFS(tb_Cartao_Credito_Detalhado[[Mês 35]:[Mês 35]],tb_Cartao_Credito_Detalhado[Mês/Ano],OFFSET(S$4,0,-34)),
SUMIFS(tb_Cartao_Credito_Detalhado[[Mês 36]:[Mês 36]],tb_Cartao_Credito_Detalhado[Mês/Ano],OFFSET(S$4,0,-35)),
SUMIFS(tb_Cartao_Credito_Detalhado[[Mês 37]:[Mês 37]],tb_Cartao_Credito_Detalhado[Mês/Ano],OFFSET(S$4,0,-36)),
SUMIFS(tb_Cartao_Credito_Detalhado[[Mês 38]:[Mês 38]],tb_Cartao_Credito_Detalhado[Mês/Ano],OFFSET(S$4,0,-37)),
SUMIFS(tb_Cartao_Credito_Detalhado[[Mês 39]:[Mês 39]],tb_Cartao_Credito_Detalhado[Mês/Ano],OFFSET(S$4,0,-38)),
SUMIFS(tb_Cartao_Credito_Detalhado[[Mês 40]:[Mês 40]],tb_Cartao_Credito_Detalhado[Mês/Ano],OFFSET(S$4,0,-39)),
SUMIFS(tb_Cartao_Credito_Detalhado[[Mês 41]:[Mês 41]],tb_Cartao_Credito_Detalhado[Mês/Ano],OFFSET(S$4,0,-40)),
SUMIFS(tb_Cartao_Credito_Detalhado[[Mês 42]:[Mês 42]],tb_Cartao_Credito_Detalhado[Mês/Ano],OFFSET(S$4,0,-41)),
SUMIFS(tb_Cartao_Credito_Detalhado[[Mês 43]:[Mês 43]],tb_Cartao_Credito_Detalhado[Mês/Ano],OFFSET(S$4,0,-42)),
SUMIFS(tb_Cartao_Credito_Detalhado[[Mês 44]:[Mês 44]],tb_Cartao_Credito_Detalhado[Mês/Ano],OFFSET(S$4,0,-43)),
SUMIFS(tb_Cartao_Credito_Detalhado[[Mês 45]:[Mês 45]],tb_Cartao_Credito_Detalhado[Mês/Ano],OFFSET(S$4,0,-44)),
)</calculatedColumnFormula>
    </tableColumn>
    <tableColumn id="19" name="mai-2018" dataDxfId="32">
      <calculatedColumnFormula>SUM(
SUMIFS(tb_Cartao_Credito_Detalhado[[Mês 1]:[Mês 1]],tb_Cartao_Credito_Detalhado[Mês/Ano],T$4),
SUMIFS(tb_Cartao_Credito_Detalhado[[Mês 2]:[Mês 2]],tb_Cartao_Credito_Detalhado[Mês/Ano],OFFSET(T$4,0,-1)),
SUMIFS(tb_Cartao_Credito_Detalhado[[Mês 3]:[Mês 3]],tb_Cartao_Credito_Detalhado[Mês/Ano],OFFSET(T$4,0,-2)),
SUMIFS(tb_Cartao_Credito_Detalhado[[Mês 4]:[Mês 4]],tb_Cartao_Credito_Detalhado[Mês/Ano],OFFSET(T$4,0,-3)),
SUMIFS(tb_Cartao_Credito_Detalhado[[Mês 5]:[Mês 5]],tb_Cartao_Credito_Detalhado[Mês/Ano],OFFSET(T$4,0,-4)),
SUMIFS(tb_Cartao_Credito_Detalhado[[Mês 6]:[Mês 6]],tb_Cartao_Credito_Detalhado[Mês/Ano],OFFSET(T$4,0,-5)),
SUMIFS(tb_Cartao_Credito_Detalhado[[Mês 7]:[Mês 7]],tb_Cartao_Credito_Detalhado[Mês/Ano],OFFSET(T$4,0,-6)),
SUMIFS(tb_Cartao_Credito_Detalhado[[Mês 8]:[Mês 8]],tb_Cartao_Credito_Detalhado[Mês/Ano],OFFSET(T$4,0,-7)),
SUMIFS(tb_Cartao_Credito_Detalhado[[Mês 9]:[Mês 9]],tb_Cartao_Credito_Detalhado[Mês/Ano],OFFSET(T$4,0,-8)),
SUMIFS(tb_Cartao_Credito_Detalhado[[Mês 10]:[Mês 10]],tb_Cartao_Credito_Detalhado[Mês/Ano],OFFSET(T$4,0,-9)),
SUMIFS(tb_Cartao_Credito_Detalhado[[Mês 11]:[Mês 11]],tb_Cartao_Credito_Detalhado[Mês/Ano],OFFSET(T$4,0,-10)),
SUMIFS(tb_Cartao_Credito_Detalhado[[Mês 12]:[Mês 12]],tb_Cartao_Credito_Detalhado[Mês/Ano],OFFSET(T$4,0,-11)),
SUMIFS(tb_Cartao_Credito_Detalhado[[Mês 13]:[Mês 13]],tb_Cartao_Credito_Detalhado[Mês/Ano],OFFSET(T$4,0,-12)),
SUMIFS(tb_Cartao_Credito_Detalhado[[Mês 14]:[Mês 14]],tb_Cartao_Credito_Detalhado[Mês/Ano],OFFSET(T$4,0,-13)),
SUMIFS(tb_Cartao_Credito_Detalhado[[Mês 15]:[Mês 15]],tb_Cartao_Credito_Detalhado[Mês/Ano],OFFSET(T$4,0,-14)),
SUMIFS(tb_Cartao_Credito_Detalhado[[Mês 16]:[Mês 16]],tb_Cartao_Credito_Detalhado[Mês/Ano],OFFSET(T$4,0,-15)),
SUMIFS(tb_Cartao_Credito_Detalhado[[Mês 17]:[Mês 17]],tb_Cartao_Credito_Detalhado[Mês/Ano],OFFSET(T$4,0,-16)),
SUMIFS(tb_Cartao_Credito_Detalhado[[Mês 18]:[Mês 18]],tb_Cartao_Credito_Detalhado[Mês/Ano],OFFSET(T$4,0,-17)),
SUMIFS(tb_Cartao_Credito_Detalhado[[Mês 19]:[Mês 19]],tb_Cartao_Credito_Detalhado[Mês/Ano],OFFSET(T$4,0,-18)),
SUMIFS(tb_Cartao_Credito_Detalhado[[Mês 20]:[Mês 20]],tb_Cartao_Credito_Detalhado[Mês/Ano],OFFSET(T$4,0,-19)),
SUMIFS(tb_Cartao_Credito_Detalhado[[Mês 21]:[Mês 21]],tb_Cartao_Credito_Detalhado[Mês/Ano],OFFSET(T$4,0,-20)),
SUMIFS(tb_Cartao_Credito_Detalhado[[Mês 22]:[Mês 22]],tb_Cartao_Credito_Detalhado[Mês/Ano],OFFSET(T$4,0,-21)),
SUMIFS(tb_Cartao_Credito_Detalhado[[Mês 23]:[Mês 23]],tb_Cartao_Credito_Detalhado[Mês/Ano],OFFSET(T$4,0,-22)),
SUMIFS(tb_Cartao_Credito_Detalhado[[Mês 24]:[Mês 24]],tb_Cartao_Credito_Detalhado[Mês/Ano],OFFSET(T$4,0,-23)),
SUMIFS(tb_Cartao_Credito_Detalhado[[Mês 25]:[Mês 25]],tb_Cartao_Credito_Detalhado[Mês/Ano],OFFSET(T$4,0,-24)),
SUMIFS(tb_Cartao_Credito_Detalhado[[Mês 26]:[Mês 26]],tb_Cartao_Credito_Detalhado[Mês/Ano],OFFSET(T$4,0,-25)),
SUMIFS(tb_Cartao_Credito_Detalhado[[Mês 27]:[Mês 27]],tb_Cartao_Credito_Detalhado[Mês/Ano],OFFSET(T$4,0,-26)),
SUMIFS(tb_Cartao_Credito_Detalhado[[Mês 28]:[Mês 28]],tb_Cartao_Credito_Detalhado[Mês/Ano],OFFSET(T$4,0,-27)),
SUMIFS(tb_Cartao_Credito_Detalhado[[Mês 29]:[Mês 29]],tb_Cartao_Credito_Detalhado[Mês/Ano],OFFSET(T$4,0,-28)),
SUMIFS(tb_Cartao_Credito_Detalhado[[Mês 30]:[Mês 30]],tb_Cartao_Credito_Detalhado[Mês/Ano],OFFSET(T$4,0,-29)),
SUMIFS(tb_Cartao_Credito_Detalhado[[Mês 31]:[Mês 31]],tb_Cartao_Credito_Detalhado[Mês/Ano],OFFSET(T$4,0,-30)),
SUMIFS(tb_Cartao_Credito_Detalhado[[Mês 32]:[Mês 32]],tb_Cartao_Credito_Detalhado[Mês/Ano],OFFSET(T$4,0,-31)),
SUMIFS(tb_Cartao_Credito_Detalhado[[Mês 33]:[Mês 33]],tb_Cartao_Credito_Detalhado[Mês/Ano],OFFSET(T$4,0,-32)),
SUMIFS(tb_Cartao_Credito_Detalhado[[Mês 34]:[Mês 34]],tb_Cartao_Credito_Detalhado[Mês/Ano],OFFSET(T$4,0,-33)),
SUMIFS(tb_Cartao_Credito_Detalhado[[Mês 35]:[Mês 35]],tb_Cartao_Credito_Detalhado[Mês/Ano],OFFSET(T$4,0,-34)),
SUMIFS(tb_Cartao_Credito_Detalhado[[Mês 36]:[Mês 36]],tb_Cartao_Credito_Detalhado[Mês/Ano],OFFSET(T$4,0,-35)),
SUMIFS(tb_Cartao_Credito_Detalhado[[Mês 37]:[Mês 37]],tb_Cartao_Credito_Detalhado[Mês/Ano],OFFSET(T$4,0,-36)),
SUMIFS(tb_Cartao_Credito_Detalhado[[Mês 38]:[Mês 38]],tb_Cartao_Credito_Detalhado[Mês/Ano],OFFSET(T$4,0,-37)),
SUMIFS(tb_Cartao_Credito_Detalhado[[Mês 39]:[Mês 39]],tb_Cartao_Credito_Detalhado[Mês/Ano],OFFSET(T$4,0,-38)),
SUMIFS(tb_Cartao_Credito_Detalhado[[Mês 40]:[Mês 40]],tb_Cartao_Credito_Detalhado[Mês/Ano],OFFSET(T$4,0,-39)),
SUMIFS(tb_Cartao_Credito_Detalhado[[Mês 41]:[Mês 41]],tb_Cartao_Credito_Detalhado[Mês/Ano],OFFSET(T$4,0,-40)),
SUMIFS(tb_Cartao_Credito_Detalhado[[Mês 42]:[Mês 42]],tb_Cartao_Credito_Detalhado[Mês/Ano],OFFSET(T$4,0,-41)),
SUMIFS(tb_Cartao_Credito_Detalhado[[Mês 43]:[Mês 43]],tb_Cartao_Credito_Detalhado[Mês/Ano],OFFSET(T$4,0,-42)),
SUMIFS(tb_Cartao_Credito_Detalhado[[Mês 44]:[Mês 44]],tb_Cartao_Credito_Detalhado[Mês/Ano],OFFSET(T$4,0,-43)),
SUMIFS(tb_Cartao_Credito_Detalhado[[Mês 45]:[Mês 45]],tb_Cartao_Credito_Detalhado[Mês/Ano],OFFSET(T$4,0,-44)),
)</calculatedColumnFormula>
    </tableColumn>
    <tableColumn id="20" name="jun-2018" dataDxfId="31">
      <calculatedColumnFormula>SUM(
SUMIFS(tb_Cartao_Credito_Detalhado[[Mês 1]:[Mês 1]],tb_Cartao_Credito_Detalhado[Mês/Ano],U$4),
SUMIFS(tb_Cartao_Credito_Detalhado[[Mês 2]:[Mês 2]],tb_Cartao_Credito_Detalhado[Mês/Ano],OFFSET(U$4,0,-1)),
SUMIFS(tb_Cartao_Credito_Detalhado[[Mês 3]:[Mês 3]],tb_Cartao_Credito_Detalhado[Mês/Ano],OFFSET(U$4,0,-2)),
SUMIFS(tb_Cartao_Credito_Detalhado[[Mês 4]:[Mês 4]],tb_Cartao_Credito_Detalhado[Mês/Ano],OFFSET(U$4,0,-3)),
SUMIFS(tb_Cartao_Credito_Detalhado[[Mês 5]:[Mês 5]],tb_Cartao_Credito_Detalhado[Mês/Ano],OFFSET(U$4,0,-4)),
SUMIFS(tb_Cartao_Credito_Detalhado[[Mês 6]:[Mês 6]],tb_Cartao_Credito_Detalhado[Mês/Ano],OFFSET(U$4,0,-5)),
SUMIFS(tb_Cartao_Credito_Detalhado[[Mês 7]:[Mês 7]],tb_Cartao_Credito_Detalhado[Mês/Ano],OFFSET(U$4,0,-6)),
SUMIFS(tb_Cartao_Credito_Detalhado[[Mês 8]:[Mês 8]],tb_Cartao_Credito_Detalhado[Mês/Ano],OFFSET(U$4,0,-7)),
SUMIFS(tb_Cartao_Credito_Detalhado[[Mês 9]:[Mês 9]],tb_Cartao_Credito_Detalhado[Mês/Ano],OFFSET(U$4,0,-8)),
SUMIFS(tb_Cartao_Credito_Detalhado[[Mês 10]:[Mês 10]],tb_Cartao_Credito_Detalhado[Mês/Ano],OFFSET(U$4,0,-9)),
SUMIFS(tb_Cartao_Credito_Detalhado[[Mês 11]:[Mês 11]],tb_Cartao_Credito_Detalhado[Mês/Ano],OFFSET(U$4,0,-10)),
SUMIFS(tb_Cartao_Credito_Detalhado[[Mês 12]:[Mês 12]],tb_Cartao_Credito_Detalhado[Mês/Ano],OFFSET(U$4,0,-11)),
SUMIFS(tb_Cartao_Credito_Detalhado[[Mês 13]:[Mês 13]],tb_Cartao_Credito_Detalhado[Mês/Ano],OFFSET(U$4,0,-12)),
SUMIFS(tb_Cartao_Credito_Detalhado[[Mês 14]:[Mês 14]],tb_Cartao_Credito_Detalhado[Mês/Ano],OFFSET(U$4,0,-13)),
SUMIFS(tb_Cartao_Credito_Detalhado[[Mês 15]:[Mês 15]],tb_Cartao_Credito_Detalhado[Mês/Ano],OFFSET(U$4,0,-14)),
SUMIFS(tb_Cartao_Credito_Detalhado[[Mês 16]:[Mês 16]],tb_Cartao_Credito_Detalhado[Mês/Ano],OFFSET(U$4,0,-15)),
SUMIFS(tb_Cartao_Credito_Detalhado[[Mês 17]:[Mês 17]],tb_Cartao_Credito_Detalhado[Mês/Ano],OFFSET(U$4,0,-16)),
SUMIFS(tb_Cartao_Credito_Detalhado[[Mês 18]:[Mês 18]],tb_Cartao_Credito_Detalhado[Mês/Ano],OFFSET(U$4,0,-17)),
SUMIFS(tb_Cartao_Credito_Detalhado[[Mês 19]:[Mês 19]],tb_Cartao_Credito_Detalhado[Mês/Ano],OFFSET(U$4,0,-18)),
SUMIFS(tb_Cartao_Credito_Detalhado[[Mês 20]:[Mês 20]],tb_Cartao_Credito_Detalhado[Mês/Ano],OFFSET(U$4,0,-19)),
SUMIFS(tb_Cartao_Credito_Detalhado[[Mês 21]:[Mês 21]],tb_Cartao_Credito_Detalhado[Mês/Ano],OFFSET(U$4,0,-20)),
SUMIFS(tb_Cartao_Credito_Detalhado[[Mês 22]:[Mês 22]],tb_Cartao_Credito_Detalhado[Mês/Ano],OFFSET(U$4,0,-21)),
SUMIFS(tb_Cartao_Credito_Detalhado[[Mês 23]:[Mês 23]],tb_Cartao_Credito_Detalhado[Mês/Ano],OFFSET(U$4,0,-22)),
SUMIFS(tb_Cartao_Credito_Detalhado[[Mês 24]:[Mês 24]],tb_Cartao_Credito_Detalhado[Mês/Ano],OFFSET(U$4,0,-23)),
SUMIFS(tb_Cartao_Credito_Detalhado[[Mês 25]:[Mês 25]],tb_Cartao_Credito_Detalhado[Mês/Ano],OFFSET(U$4,0,-24)),
SUMIFS(tb_Cartao_Credito_Detalhado[[Mês 26]:[Mês 26]],tb_Cartao_Credito_Detalhado[Mês/Ano],OFFSET(U$4,0,-25)),
SUMIFS(tb_Cartao_Credito_Detalhado[[Mês 27]:[Mês 27]],tb_Cartao_Credito_Detalhado[Mês/Ano],OFFSET(U$4,0,-26)),
SUMIFS(tb_Cartao_Credito_Detalhado[[Mês 28]:[Mês 28]],tb_Cartao_Credito_Detalhado[Mês/Ano],OFFSET(U$4,0,-27)),
SUMIFS(tb_Cartao_Credito_Detalhado[[Mês 29]:[Mês 29]],tb_Cartao_Credito_Detalhado[Mês/Ano],OFFSET(U$4,0,-28)),
SUMIFS(tb_Cartao_Credito_Detalhado[[Mês 30]:[Mês 30]],tb_Cartao_Credito_Detalhado[Mês/Ano],OFFSET(U$4,0,-29)),
SUMIFS(tb_Cartao_Credito_Detalhado[[Mês 31]:[Mês 31]],tb_Cartao_Credito_Detalhado[Mês/Ano],OFFSET(U$4,0,-30)),
SUMIFS(tb_Cartao_Credito_Detalhado[[Mês 32]:[Mês 32]],tb_Cartao_Credito_Detalhado[Mês/Ano],OFFSET(U$4,0,-31)),
SUMIFS(tb_Cartao_Credito_Detalhado[[Mês 33]:[Mês 33]],tb_Cartao_Credito_Detalhado[Mês/Ano],OFFSET(U$4,0,-32)),
SUMIFS(tb_Cartao_Credito_Detalhado[[Mês 34]:[Mês 34]],tb_Cartao_Credito_Detalhado[Mês/Ano],OFFSET(U$4,0,-33)),
SUMIFS(tb_Cartao_Credito_Detalhado[[Mês 35]:[Mês 35]],tb_Cartao_Credito_Detalhado[Mês/Ano],OFFSET(U$4,0,-34)),
SUMIFS(tb_Cartao_Credito_Detalhado[[Mês 36]:[Mês 36]],tb_Cartao_Credito_Detalhado[Mês/Ano],OFFSET(U$4,0,-35)),
SUMIFS(tb_Cartao_Credito_Detalhado[[Mês 37]:[Mês 37]],tb_Cartao_Credito_Detalhado[Mês/Ano],OFFSET(U$4,0,-36)),
SUMIFS(tb_Cartao_Credito_Detalhado[[Mês 38]:[Mês 38]],tb_Cartao_Credito_Detalhado[Mês/Ano],OFFSET(U$4,0,-37)),
SUMIFS(tb_Cartao_Credito_Detalhado[[Mês 39]:[Mês 39]],tb_Cartao_Credito_Detalhado[Mês/Ano],OFFSET(U$4,0,-38)),
SUMIFS(tb_Cartao_Credito_Detalhado[[Mês 40]:[Mês 40]],tb_Cartao_Credito_Detalhado[Mês/Ano],OFFSET(U$4,0,-39)),
SUMIFS(tb_Cartao_Credito_Detalhado[[Mês 41]:[Mês 41]],tb_Cartao_Credito_Detalhado[Mês/Ano],OFFSET(U$4,0,-40)),
SUMIFS(tb_Cartao_Credito_Detalhado[[Mês 42]:[Mês 42]],tb_Cartao_Credito_Detalhado[Mês/Ano],OFFSET(U$4,0,-41)),
SUMIFS(tb_Cartao_Credito_Detalhado[[Mês 43]:[Mês 43]],tb_Cartao_Credito_Detalhado[Mês/Ano],OFFSET(U$4,0,-42)),
SUMIFS(tb_Cartao_Credito_Detalhado[[Mês 44]:[Mês 44]],tb_Cartao_Credito_Detalhado[Mês/Ano],OFFSET(U$4,0,-43)),
SUMIFS(tb_Cartao_Credito_Detalhado[[Mês 45]:[Mês 45]],tb_Cartao_Credito_Detalhado[Mês/Ano],OFFSET(U$4,0,-44)),
)</calculatedColumnFormula>
    </tableColumn>
    <tableColumn id="21" name="jul-2018" dataDxfId="30">
      <calculatedColumnFormula>SUM(
SUMIFS(tb_Cartao_Credito_Detalhado[[Mês 1]:[Mês 1]],tb_Cartao_Credito_Detalhado[Mês/Ano],V$4),
SUMIFS(tb_Cartao_Credito_Detalhado[[Mês 2]:[Mês 2]],tb_Cartao_Credito_Detalhado[Mês/Ano],OFFSET(V$4,0,-1)),
SUMIFS(tb_Cartao_Credito_Detalhado[[Mês 3]:[Mês 3]],tb_Cartao_Credito_Detalhado[Mês/Ano],OFFSET(V$4,0,-2)),
SUMIFS(tb_Cartao_Credito_Detalhado[[Mês 4]:[Mês 4]],tb_Cartao_Credito_Detalhado[Mês/Ano],OFFSET(V$4,0,-3)),
SUMIFS(tb_Cartao_Credito_Detalhado[[Mês 5]:[Mês 5]],tb_Cartao_Credito_Detalhado[Mês/Ano],OFFSET(V$4,0,-4)),
SUMIFS(tb_Cartao_Credito_Detalhado[[Mês 6]:[Mês 6]],tb_Cartao_Credito_Detalhado[Mês/Ano],OFFSET(V$4,0,-5)),
SUMIFS(tb_Cartao_Credito_Detalhado[[Mês 7]:[Mês 7]],tb_Cartao_Credito_Detalhado[Mês/Ano],OFFSET(V$4,0,-6)),
SUMIFS(tb_Cartao_Credito_Detalhado[[Mês 8]:[Mês 8]],tb_Cartao_Credito_Detalhado[Mês/Ano],OFFSET(V$4,0,-7)),
SUMIFS(tb_Cartao_Credito_Detalhado[[Mês 9]:[Mês 9]],tb_Cartao_Credito_Detalhado[Mês/Ano],OFFSET(V$4,0,-8)),
SUMIFS(tb_Cartao_Credito_Detalhado[[Mês 10]:[Mês 10]],tb_Cartao_Credito_Detalhado[Mês/Ano],OFFSET(V$4,0,-9)),
SUMIFS(tb_Cartao_Credito_Detalhado[[Mês 11]:[Mês 11]],tb_Cartao_Credito_Detalhado[Mês/Ano],OFFSET(V$4,0,-10)),
SUMIFS(tb_Cartao_Credito_Detalhado[[Mês 12]:[Mês 12]],tb_Cartao_Credito_Detalhado[Mês/Ano],OFFSET(V$4,0,-11)),
SUMIFS(tb_Cartao_Credito_Detalhado[[Mês 13]:[Mês 13]],tb_Cartao_Credito_Detalhado[Mês/Ano],OFFSET(V$4,0,-12)),
SUMIFS(tb_Cartao_Credito_Detalhado[[Mês 14]:[Mês 14]],tb_Cartao_Credito_Detalhado[Mês/Ano],OFFSET(V$4,0,-13)),
SUMIFS(tb_Cartao_Credito_Detalhado[[Mês 15]:[Mês 15]],tb_Cartao_Credito_Detalhado[Mês/Ano],OFFSET(V$4,0,-14)),
SUMIFS(tb_Cartao_Credito_Detalhado[[Mês 16]:[Mês 16]],tb_Cartao_Credito_Detalhado[Mês/Ano],OFFSET(V$4,0,-15)),
SUMIFS(tb_Cartao_Credito_Detalhado[[Mês 17]:[Mês 17]],tb_Cartao_Credito_Detalhado[Mês/Ano],OFFSET(V$4,0,-16)),
SUMIFS(tb_Cartao_Credito_Detalhado[[Mês 18]:[Mês 18]],tb_Cartao_Credito_Detalhado[Mês/Ano],OFFSET(V$4,0,-17)),
SUMIFS(tb_Cartao_Credito_Detalhado[[Mês 19]:[Mês 19]],tb_Cartao_Credito_Detalhado[Mês/Ano],OFFSET(V$4,0,-18)),
SUMIFS(tb_Cartao_Credito_Detalhado[[Mês 20]:[Mês 20]],tb_Cartao_Credito_Detalhado[Mês/Ano],OFFSET(V$4,0,-19)),
SUMIFS(tb_Cartao_Credito_Detalhado[[Mês 21]:[Mês 21]],tb_Cartao_Credito_Detalhado[Mês/Ano],OFFSET(V$4,0,-20)),
SUMIFS(tb_Cartao_Credito_Detalhado[[Mês 22]:[Mês 22]],tb_Cartao_Credito_Detalhado[Mês/Ano],OFFSET(V$4,0,-21)),
SUMIFS(tb_Cartao_Credito_Detalhado[[Mês 23]:[Mês 23]],tb_Cartao_Credito_Detalhado[Mês/Ano],OFFSET(V$4,0,-22)),
SUMIFS(tb_Cartao_Credito_Detalhado[[Mês 24]:[Mês 24]],tb_Cartao_Credito_Detalhado[Mês/Ano],OFFSET(V$4,0,-23)),
SUMIFS(tb_Cartao_Credito_Detalhado[[Mês 25]:[Mês 25]],tb_Cartao_Credito_Detalhado[Mês/Ano],OFFSET(V$4,0,-24)),
SUMIFS(tb_Cartao_Credito_Detalhado[[Mês 26]:[Mês 26]],tb_Cartao_Credito_Detalhado[Mês/Ano],OFFSET(V$4,0,-25)),
SUMIFS(tb_Cartao_Credito_Detalhado[[Mês 27]:[Mês 27]],tb_Cartao_Credito_Detalhado[Mês/Ano],OFFSET(V$4,0,-26)),
SUMIFS(tb_Cartao_Credito_Detalhado[[Mês 28]:[Mês 28]],tb_Cartao_Credito_Detalhado[Mês/Ano],OFFSET(V$4,0,-27)),
SUMIFS(tb_Cartao_Credito_Detalhado[[Mês 29]:[Mês 29]],tb_Cartao_Credito_Detalhado[Mês/Ano],OFFSET(V$4,0,-28)),
SUMIFS(tb_Cartao_Credito_Detalhado[[Mês 30]:[Mês 30]],tb_Cartao_Credito_Detalhado[Mês/Ano],OFFSET(V$4,0,-29)),
SUMIFS(tb_Cartao_Credito_Detalhado[[Mês 31]:[Mês 31]],tb_Cartao_Credito_Detalhado[Mês/Ano],OFFSET(V$4,0,-30)),
SUMIFS(tb_Cartao_Credito_Detalhado[[Mês 32]:[Mês 32]],tb_Cartao_Credito_Detalhado[Mês/Ano],OFFSET(V$4,0,-31)),
SUMIFS(tb_Cartao_Credito_Detalhado[[Mês 33]:[Mês 33]],tb_Cartao_Credito_Detalhado[Mês/Ano],OFFSET(V$4,0,-32)),
SUMIFS(tb_Cartao_Credito_Detalhado[[Mês 34]:[Mês 34]],tb_Cartao_Credito_Detalhado[Mês/Ano],OFFSET(V$4,0,-33)),
SUMIFS(tb_Cartao_Credito_Detalhado[[Mês 35]:[Mês 35]],tb_Cartao_Credito_Detalhado[Mês/Ano],OFFSET(V$4,0,-34)),
SUMIFS(tb_Cartao_Credito_Detalhado[[Mês 36]:[Mês 36]],tb_Cartao_Credito_Detalhado[Mês/Ano],OFFSET(V$4,0,-35)),
SUMIFS(tb_Cartao_Credito_Detalhado[[Mês 37]:[Mês 37]],tb_Cartao_Credito_Detalhado[Mês/Ano],OFFSET(V$4,0,-36)),
SUMIFS(tb_Cartao_Credito_Detalhado[[Mês 38]:[Mês 38]],tb_Cartao_Credito_Detalhado[Mês/Ano],OFFSET(V$4,0,-37)),
SUMIFS(tb_Cartao_Credito_Detalhado[[Mês 39]:[Mês 39]],tb_Cartao_Credito_Detalhado[Mês/Ano],OFFSET(V$4,0,-38)),
SUMIFS(tb_Cartao_Credito_Detalhado[[Mês 40]:[Mês 40]],tb_Cartao_Credito_Detalhado[Mês/Ano],OFFSET(V$4,0,-39)),
SUMIFS(tb_Cartao_Credito_Detalhado[[Mês 41]:[Mês 41]],tb_Cartao_Credito_Detalhado[Mês/Ano],OFFSET(V$4,0,-40)),
SUMIFS(tb_Cartao_Credito_Detalhado[[Mês 42]:[Mês 42]],tb_Cartao_Credito_Detalhado[Mês/Ano],OFFSET(V$4,0,-41)),
SUMIFS(tb_Cartao_Credito_Detalhado[[Mês 43]:[Mês 43]],tb_Cartao_Credito_Detalhado[Mês/Ano],OFFSET(V$4,0,-42)),
SUMIFS(tb_Cartao_Credito_Detalhado[[Mês 44]:[Mês 44]],tb_Cartao_Credito_Detalhado[Mês/Ano],OFFSET(V$4,0,-43)),
SUMIFS(tb_Cartao_Credito_Detalhado[[Mês 45]:[Mês 45]],tb_Cartao_Credito_Detalhado[Mês/Ano],OFFSET(V$4,0,-44)),
)</calculatedColumnFormula>
    </tableColumn>
    <tableColumn id="22" name="ago-2018" dataDxfId="29">
      <calculatedColumnFormula>SUM(
SUMIFS(tb_Cartao_Credito_Detalhado[[Mês 1]:[Mês 1]],tb_Cartao_Credito_Detalhado[Mês/Ano],W$4),
SUMIFS(tb_Cartao_Credito_Detalhado[[Mês 2]:[Mês 2]],tb_Cartao_Credito_Detalhado[Mês/Ano],OFFSET(W$4,0,-1)),
SUMIFS(tb_Cartao_Credito_Detalhado[[Mês 3]:[Mês 3]],tb_Cartao_Credito_Detalhado[Mês/Ano],OFFSET(W$4,0,-2)),
SUMIFS(tb_Cartao_Credito_Detalhado[[Mês 4]:[Mês 4]],tb_Cartao_Credito_Detalhado[Mês/Ano],OFFSET(W$4,0,-3)),
SUMIFS(tb_Cartao_Credito_Detalhado[[Mês 5]:[Mês 5]],tb_Cartao_Credito_Detalhado[Mês/Ano],OFFSET(W$4,0,-4)),
SUMIFS(tb_Cartao_Credito_Detalhado[[Mês 6]:[Mês 6]],tb_Cartao_Credito_Detalhado[Mês/Ano],OFFSET(W$4,0,-5)),
SUMIFS(tb_Cartao_Credito_Detalhado[[Mês 7]:[Mês 7]],tb_Cartao_Credito_Detalhado[Mês/Ano],OFFSET(W$4,0,-6)),
SUMIFS(tb_Cartao_Credito_Detalhado[[Mês 8]:[Mês 8]],tb_Cartao_Credito_Detalhado[Mês/Ano],OFFSET(W$4,0,-7)),
SUMIFS(tb_Cartao_Credito_Detalhado[[Mês 9]:[Mês 9]],tb_Cartao_Credito_Detalhado[Mês/Ano],OFFSET(W$4,0,-8)),
SUMIFS(tb_Cartao_Credito_Detalhado[[Mês 10]:[Mês 10]],tb_Cartao_Credito_Detalhado[Mês/Ano],OFFSET(W$4,0,-9)),
SUMIFS(tb_Cartao_Credito_Detalhado[[Mês 11]:[Mês 11]],tb_Cartao_Credito_Detalhado[Mês/Ano],OFFSET(W$4,0,-10)),
SUMIFS(tb_Cartao_Credito_Detalhado[[Mês 12]:[Mês 12]],tb_Cartao_Credito_Detalhado[Mês/Ano],OFFSET(W$4,0,-11)),
SUMIFS(tb_Cartao_Credito_Detalhado[[Mês 13]:[Mês 13]],tb_Cartao_Credito_Detalhado[Mês/Ano],OFFSET(W$4,0,-12)),
SUMIFS(tb_Cartao_Credito_Detalhado[[Mês 14]:[Mês 14]],tb_Cartao_Credito_Detalhado[Mês/Ano],OFFSET(W$4,0,-13)),
SUMIFS(tb_Cartao_Credito_Detalhado[[Mês 15]:[Mês 15]],tb_Cartao_Credito_Detalhado[Mês/Ano],OFFSET(W$4,0,-14)),
SUMIFS(tb_Cartao_Credito_Detalhado[[Mês 16]:[Mês 16]],tb_Cartao_Credito_Detalhado[Mês/Ano],OFFSET(W$4,0,-15)),
SUMIFS(tb_Cartao_Credito_Detalhado[[Mês 17]:[Mês 17]],tb_Cartao_Credito_Detalhado[Mês/Ano],OFFSET(W$4,0,-16)),
SUMIFS(tb_Cartao_Credito_Detalhado[[Mês 18]:[Mês 18]],tb_Cartao_Credito_Detalhado[Mês/Ano],OFFSET(W$4,0,-17)),
SUMIFS(tb_Cartao_Credito_Detalhado[[Mês 19]:[Mês 19]],tb_Cartao_Credito_Detalhado[Mês/Ano],OFFSET(W$4,0,-18)),
SUMIFS(tb_Cartao_Credito_Detalhado[[Mês 20]:[Mês 20]],tb_Cartao_Credito_Detalhado[Mês/Ano],OFFSET(W$4,0,-19)),
SUMIFS(tb_Cartao_Credito_Detalhado[[Mês 21]:[Mês 21]],tb_Cartao_Credito_Detalhado[Mês/Ano],OFFSET(W$4,0,-20)),
SUMIFS(tb_Cartao_Credito_Detalhado[[Mês 22]:[Mês 22]],tb_Cartao_Credito_Detalhado[Mês/Ano],OFFSET(W$4,0,-21)),
SUMIFS(tb_Cartao_Credito_Detalhado[[Mês 23]:[Mês 23]],tb_Cartao_Credito_Detalhado[Mês/Ano],OFFSET(W$4,0,-22)),
SUMIFS(tb_Cartao_Credito_Detalhado[[Mês 24]:[Mês 24]],tb_Cartao_Credito_Detalhado[Mês/Ano],OFFSET(W$4,0,-23)),
SUMIFS(tb_Cartao_Credito_Detalhado[[Mês 25]:[Mês 25]],tb_Cartao_Credito_Detalhado[Mês/Ano],OFFSET(W$4,0,-24)),
SUMIFS(tb_Cartao_Credito_Detalhado[[Mês 26]:[Mês 26]],tb_Cartao_Credito_Detalhado[Mês/Ano],OFFSET(W$4,0,-25)),
SUMIFS(tb_Cartao_Credito_Detalhado[[Mês 27]:[Mês 27]],tb_Cartao_Credito_Detalhado[Mês/Ano],OFFSET(W$4,0,-26)),
SUMIFS(tb_Cartao_Credito_Detalhado[[Mês 28]:[Mês 28]],tb_Cartao_Credito_Detalhado[Mês/Ano],OFFSET(W$4,0,-27)),
SUMIFS(tb_Cartao_Credito_Detalhado[[Mês 29]:[Mês 29]],tb_Cartao_Credito_Detalhado[Mês/Ano],OFFSET(W$4,0,-28)),
SUMIFS(tb_Cartao_Credito_Detalhado[[Mês 30]:[Mês 30]],tb_Cartao_Credito_Detalhado[Mês/Ano],OFFSET(W$4,0,-29)),
SUMIFS(tb_Cartao_Credito_Detalhado[[Mês 31]:[Mês 31]],tb_Cartao_Credito_Detalhado[Mês/Ano],OFFSET(W$4,0,-30)),
SUMIFS(tb_Cartao_Credito_Detalhado[[Mês 32]:[Mês 32]],tb_Cartao_Credito_Detalhado[Mês/Ano],OFFSET(W$4,0,-31)),
SUMIFS(tb_Cartao_Credito_Detalhado[[Mês 33]:[Mês 33]],tb_Cartao_Credito_Detalhado[Mês/Ano],OFFSET(W$4,0,-32)),
SUMIFS(tb_Cartao_Credito_Detalhado[[Mês 34]:[Mês 34]],tb_Cartao_Credito_Detalhado[Mês/Ano],OFFSET(W$4,0,-33)),
SUMIFS(tb_Cartao_Credito_Detalhado[[Mês 35]:[Mês 35]],tb_Cartao_Credito_Detalhado[Mês/Ano],OFFSET(W$4,0,-34)),
SUMIFS(tb_Cartao_Credito_Detalhado[[Mês 36]:[Mês 36]],tb_Cartao_Credito_Detalhado[Mês/Ano],OFFSET(W$4,0,-35)),
SUMIFS(tb_Cartao_Credito_Detalhado[[Mês 37]:[Mês 37]],tb_Cartao_Credito_Detalhado[Mês/Ano],OFFSET(W$4,0,-36)),
SUMIFS(tb_Cartao_Credito_Detalhado[[Mês 38]:[Mês 38]],tb_Cartao_Credito_Detalhado[Mês/Ano],OFFSET(W$4,0,-37)),
SUMIFS(tb_Cartao_Credito_Detalhado[[Mês 39]:[Mês 39]],tb_Cartao_Credito_Detalhado[Mês/Ano],OFFSET(W$4,0,-38)),
SUMIFS(tb_Cartao_Credito_Detalhado[[Mês 40]:[Mês 40]],tb_Cartao_Credito_Detalhado[Mês/Ano],OFFSET(W$4,0,-39)),
SUMIFS(tb_Cartao_Credito_Detalhado[[Mês 41]:[Mês 41]],tb_Cartao_Credito_Detalhado[Mês/Ano],OFFSET(W$4,0,-40)),
SUMIFS(tb_Cartao_Credito_Detalhado[[Mês 42]:[Mês 42]],tb_Cartao_Credito_Detalhado[Mês/Ano],OFFSET(W$4,0,-41)),
SUMIFS(tb_Cartao_Credito_Detalhado[[Mês 43]:[Mês 43]],tb_Cartao_Credito_Detalhado[Mês/Ano],OFFSET(W$4,0,-42)),
SUMIFS(tb_Cartao_Credito_Detalhado[[Mês 44]:[Mês 44]],tb_Cartao_Credito_Detalhado[Mês/Ano],OFFSET(W$4,0,-43)),
SUMIFS(tb_Cartao_Credito_Detalhado[[Mês 45]:[Mês 45]],tb_Cartao_Credito_Detalhado[Mês/Ano],OFFSET(W$4,0,-44)),
)</calculatedColumnFormula>
    </tableColumn>
    <tableColumn id="23" name="set-2018" dataDxfId="28">
      <calculatedColumnFormula>SUM(
SUMIFS(tb_Cartao_Credito_Detalhado[[Mês 1]:[Mês 1]],tb_Cartao_Credito_Detalhado[Mês/Ano],X$4),
SUMIFS(tb_Cartao_Credito_Detalhado[[Mês 2]:[Mês 2]],tb_Cartao_Credito_Detalhado[Mês/Ano],OFFSET(X$4,0,-1)),
SUMIFS(tb_Cartao_Credito_Detalhado[[Mês 3]:[Mês 3]],tb_Cartao_Credito_Detalhado[Mês/Ano],OFFSET(X$4,0,-2)),
SUMIFS(tb_Cartao_Credito_Detalhado[[Mês 4]:[Mês 4]],tb_Cartao_Credito_Detalhado[Mês/Ano],OFFSET(X$4,0,-3)),
SUMIFS(tb_Cartao_Credito_Detalhado[[Mês 5]:[Mês 5]],tb_Cartao_Credito_Detalhado[Mês/Ano],OFFSET(X$4,0,-4)),
SUMIFS(tb_Cartao_Credito_Detalhado[[Mês 6]:[Mês 6]],tb_Cartao_Credito_Detalhado[Mês/Ano],OFFSET(X$4,0,-5)),
SUMIFS(tb_Cartao_Credito_Detalhado[[Mês 7]:[Mês 7]],tb_Cartao_Credito_Detalhado[Mês/Ano],OFFSET(X$4,0,-6)),
SUMIFS(tb_Cartao_Credito_Detalhado[[Mês 8]:[Mês 8]],tb_Cartao_Credito_Detalhado[Mês/Ano],OFFSET(X$4,0,-7)),
SUMIFS(tb_Cartao_Credito_Detalhado[[Mês 9]:[Mês 9]],tb_Cartao_Credito_Detalhado[Mês/Ano],OFFSET(X$4,0,-8)),
SUMIFS(tb_Cartao_Credito_Detalhado[[Mês 10]:[Mês 10]],tb_Cartao_Credito_Detalhado[Mês/Ano],OFFSET(X$4,0,-9)),
SUMIFS(tb_Cartao_Credito_Detalhado[[Mês 11]:[Mês 11]],tb_Cartao_Credito_Detalhado[Mês/Ano],OFFSET(X$4,0,-10)),
SUMIFS(tb_Cartao_Credito_Detalhado[[Mês 12]:[Mês 12]],tb_Cartao_Credito_Detalhado[Mês/Ano],OFFSET(X$4,0,-11)),
SUMIFS(tb_Cartao_Credito_Detalhado[[Mês 13]:[Mês 13]],tb_Cartao_Credito_Detalhado[Mês/Ano],OFFSET(X$4,0,-12)),
SUMIFS(tb_Cartao_Credito_Detalhado[[Mês 14]:[Mês 14]],tb_Cartao_Credito_Detalhado[Mês/Ano],OFFSET(X$4,0,-13)),
SUMIFS(tb_Cartao_Credito_Detalhado[[Mês 15]:[Mês 15]],tb_Cartao_Credito_Detalhado[Mês/Ano],OFFSET(X$4,0,-14)),
SUMIFS(tb_Cartao_Credito_Detalhado[[Mês 16]:[Mês 16]],tb_Cartao_Credito_Detalhado[Mês/Ano],OFFSET(X$4,0,-15)),
SUMIFS(tb_Cartao_Credito_Detalhado[[Mês 17]:[Mês 17]],tb_Cartao_Credito_Detalhado[Mês/Ano],OFFSET(X$4,0,-16)),
SUMIFS(tb_Cartao_Credito_Detalhado[[Mês 18]:[Mês 18]],tb_Cartao_Credito_Detalhado[Mês/Ano],OFFSET(X$4,0,-17)),
SUMIFS(tb_Cartao_Credito_Detalhado[[Mês 19]:[Mês 19]],tb_Cartao_Credito_Detalhado[Mês/Ano],OFFSET(X$4,0,-18)),
SUMIFS(tb_Cartao_Credito_Detalhado[[Mês 20]:[Mês 20]],tb_Cartao_Credito_Detalhado[Mês/Ano],OFFSET(X$4,0,-19)),
SUMIFS(tb_Cartao_Credito_Detalhado[[Mês 21]:[Mês 21]],tb_Cartao_Credito_Detalhado[Mês/Ano],OFFSET(X$4,0,-20)),
SUMIFS(tb_Cartao_Credito_Detalhado[[Mês 22]:[Mês 22]],tb_Cartao_Credito_Detalhado[Mês/Ano],OFFSET(X$4,0,-21)),
SUMIFS(tb_Cartao_Credito_Detalhado[[Mês 23]:[Mês 23]],tb_Cartao_Credito_Detalhado[Mês/Ano],OFFSET(X$4,0,-22)),
SUMIFS(tb_Cartao_Credito_Detalhado[[Mês 24]:[Mês 24]],tb_Cartao_Credito_Detalhado[Mês/Ano],OFFSET(X$4,0,-23)),
SUMIFS(tb_Cartao_Credito_Detalhado[[Mês 25]:[Mês 25]],tb_Cartao_Credito_Detalhado[Mês/Ano],OFFSET(X$4,0,-24)),
SUMIFS(tb_Cartao_Credito_Detalhado[[Mês 26]:[Mês 26]],tb_Cartao_Credito_Detalhado[Mês/Ano],OFFSET(X$4,0,-25)),
SUMIFS(tb_Cartao_Credito_Detalhado[[Mês 27]:[Mês 27]],tb_Cartao_Credito_Detalhado[Mês/Ano],OFFSET(X$4,0,-26)),
SUMIFS(tb_Cartao_Credito_Detalhado[[Mês 28]:[Mês 28]],tb_Cartao_Credito_Detalhado[Mês/Ano],OFFSET(X$4,0,-27)),
SUMIFS(tb_Cartao_Credito_Detalhado[[Mês 29]:[Mês 29]],tb_Cartao_Credito_Detalhado[Mês/Ano],OFFSET(X$4,0,-28)),
SUMIFS(tb_Cartao_Credito_Detalhado[[Mês 30]:[Mês 30]],tb_Cartao_Credito_Detalhado[Mês/Ano],OFFSET(X$4,0,-29)),
SUMIFS(tb_Cartao_Credito_Detalhado[[Mês 31]:[Mês 31]],tb_Cartao_Credito_Detalhado[Mês/Ano],OFFSET(X$4,0,-30)),
SUMIFS(tb_Cartao_Credito_Detalhado[[Mês 32]:[Mês 32]],tb_Cartao_Credito_Detalhado[Mês/Ano],OFFSET(X$4,0,-31)),
SUMIFS(tb_Cartao_Credito_Detalhado[[Mês 33]:[Mês 33]],tb_Cartao_Credito_Detalhado[Mês/Ano],OFFSET(X$4,0,-32)),
SUMIFS(tb_Cartao_Credito_Detalhado[[Mês 34]:[Mês 34]],tb_Cartao_Credito_Detalhado[Mês/Ano],OFFSET(X$4,0,-33)),
SUMIFS(tb_Cartao_Credito_Detalhado[[Mês 35]:[Mês 35]],tb_Cartao_Credito_Detalhado[Mês/Ano],OFFSET(X$4,0,-34)),
SUMIFS(tb_Cartao_Credito_Detalhado[[Mês 36]:[Mês 36]],tb_Cartao_Credito_Detalhado[Mês/Ano],OFFSET(X$4,0,-35)),
SUMIFS(tb_Cartao_Credito_Detalhado[[Mês 37]:[Mês 37]],tb_Cartao_Credito_Detalhado[Mês/Ano],OFFSET(X$4,0,-36)),
SUMIFS(tb_Cartao_Credito_Detalhado[[Mês 38]:[Mês 38]],tb_Cartao_Credito_Detalhado[Mês/Ano],OFFSET(X$4,0,-37)),
SUMIFS(tb_Cartao_Credito_Detalhado[[Mês 39]:[Mês 39]],tb_Cartao_Credito_Detalhado[Mês/Ano],OFFSET(X$4,0,-38)),
SUMIFS(tb_Cartao_Credito_Detalhado[[Mês 40]:[Mês 40]],tb_Cartao_Credito_Detalhado[Mês/Ano],OFFSET(X$4,0,-39)),
SUMIFS(tb_Cartao_Credito_Detalhado[[Mês 41]:[Mês 41]],tb_Cartao_Credito_Detalhado[Mês/Ano],OFFSET(X$4,0,-40)),
SUMIFS(tb_Cartao_Credito_Detalhado[[Mês 42]:[Mês 42]],tb_Cartao_Credito_Detalhado[Mês/Ano],OFFSET(X$4,0,-41)),
SUMIFS(tb_Cartao_Credito_Detalhado[[Mês 43]:[Mês 43]],tb_Cartao_Credito_Detalhado[Mês/Ano],OFFSET(X$4,0,-42)),
SUMIFS(tb_Cartao_Credito_Detalhado[[Mês 44]:[Mês 44]],tb_Cartao_Credito_Detalhado[Mês/Ano],OFFSET(X$4,0,-43)),
SUMIFS(tb_Cartao_Credito_Detalhado[[Mês 45]:[Mês 45]],tb_Cartao_Credito_Detalhado[Mês/Ano],OFFSET(X$4,0,-44)),
)</calculatedColumnFormula>
    </tableColumn>
    <tableColumn id="24" name="out-2018" dataDxfId="27">
      <calculatedColumnFormula>SUM(
SUMIFS(tb_Cartao_Credito_Detalhado[[Mês 1]:[Mês 1]],tb_Cartao_Credito_Detalhado[Mês/Ano],Y$4),
SUMIFS(tb_Cartao_Credito_Detalhado[[Mês 2]:[Mês 2]],tb_Cartao_Credito_Detalhado[Mês/Ano],OFFSET(Y$4,0,-1)),
SUMIFS(tb_Cartao_Credito_Detalhado[[Mês 3]:[Mês 3]],tb_Cartao_Credito_Detalhado[Mês/Ano],OFFSET(Y$4,0,-2)),
SUMIFS(tb_Cartao_Credito_Detalhado[[Mês 4]:[Mês 4]],tb_Cartao_Credito_Detalhado[Mês/Ano],OFFSET(Y$4,0,-3)),
SUMIFS(tb_Cartao_Credito_Detalhado[[Mês 5]:[Mês 5]],tb_Cartao_Credito_Detalhado[Mês/Ano],OFFSET(Y$4,0,-4)),
SUMIFS(tb_Cartao_Credito_Detalhado[[Mês 6]:[Mês 6]],tb_Cartao_Credito_Detalhado[Mês/Ano],OFFSET(Y$4,0,-5)),
SUMIFS(tb_Cartao_Credito_Detalhado[[Mês 7]:[Mês 7]],tb_Cartao_Credito_Detalhado[Mês/Ano],OFFSET(Y$4,0,-6)),
SUMIFS(tb_Cartao_Credito_Detalhado[[Mês 8]:[Mês 8]],tb_Cartao_Credito_Detalhado[Mês/Ano],OFFSET(Y$4,0,-7)),
SUMIFS(tb_Cartao_Credito_Detalhado[[Mês 9]:[Mês 9]],tb_Cartao_Credito_Detalhado[Mês/Ano],OFFSET(Y$4,0,-8)),
SUMIFS(tb_Cartao_Credito_Detalhado[[Mês 10]:[Mês 10]],tb_Cartao_Credito_Detalhado[Mês/Ano],OFFSET(Y$4,0,-9)),
SUMIFS(tb_Cartao_Credito_Detalhado[[Mês 11]:[Mês 11]],tb_Cartao_Credito_Detalhado[Mês/Ano],OFFSET(Y$4,0,-10)),
SUMIFS(tb_Cartao_Credito_Detalhado[[Mês 12]:[Mês 12]],tb_Cartao_Credito_Detalhado[Mês/Ano],OFFSET(Y$4,0,-11)),
SUMIFS(tb_Cartao_Credito_Detalhado[[Mês 13]:[Mês 13]],tb_Cartao_Credito_Detalhado[Mês/Ano],OFFSET(Y$4,0,-12)),
SUMIFS(tb_Cartao_Credito_Detalhado[[Mês 14]:[Mês 14]],tb_Cartao_Credito_Detalhado[Mês/Ano],OFFSET(Y$4,0,-13)),
SUMIFS(tb_Cartao_Credito_Detalhado[[Mês 15]:[Mês 15]],tb_Cartao_Credito_Detalhado[Mês/Ano],OFFSET(Y$4,0,-14)),
SUMIFS(tb_Cartao_Credito_Detalhado[[Mês 16]:[Mês 16]],tb_Cartao_Credito_Detalhado[Mês/Ano],OFFSET(Y$4,0,-15)),
SUMIFS(tb_Cartao_Credito_Detalhado[[Mês 17]:[Mês 17]],tb_Cartao_Credito_Detalhado[Mês/Ano],OFFSET(Y$4,0,-16)),
SUMIFS(tb_Cartao_Credito_Detalhado[[Mês 18]:[Mês 18]],tb_Cartao_Credito_Detalhado[Mês/Ano],OFFSET(Y$4,0,-17)),
SUMIFS(tb_Cartao_Credito_Detalhado[[Mês 19]:[Mês 19]],tb_Cartao_Credito_Detalhado[Mês/Ano],OFFSET(Y$4,0,-18)),
SUMIFS(tb_Cartao_Credito_Detalhado[[Mês 20]:[Mês 20]],tb_Cartao_Credito_Detalhado[Mês/Ano],OFFSET(Y$4,0,-19)),
SUMIFS(tb_Cartao_Credito_Detalhado[[Mês 21]:[Mês 21]],tb_Cartao_Credito_Detalhado[Mês/Ano],OFFSET(Y$4,0,-20)),
SUMIFS(tb_Cartao_Credito_Detalhado[[Mês 22]:[Mês 22]],tb_Cartao_Credito_Detalhado[Mês/Ano],OFFSET(Y$4,0,-21)),
SUMIFS(tb_Cartao_Credito_Detalhado[[Mês 23]:[Mês 23]],tb_Cartao_Credito_Detalhado[Mês/Ano],OFFSET(Y$4,0,-22)),
SUMIFS(tb_Cartao_Credito_Detalhado[[Mês 24]:[Mês 24]],tb_Cartao_Credito_Detalhado[Mês/Ano],OFFSET(Y$4,0,-23)),
SUMIFS(tb_Cartao_Credito_Detalhado[[Mês 25]:[Mês 25]],tb_Cartao_Credito_Detalhado[Mês/Ano],OFFSET(Y$4,0,-24)),
SUMIFS(tb_Cartao_Credito_Detalhado[[Mês 26]:[Mês 26]],tb_Cartao_Credito_Detalhado[Mês/Ano],OFFSET(Y$4,0,-25)),
SUMIFS(tb_Cartao_Credito_Detalhado[[Mês 27]:[Mês 27]],tb_Cartao_Credito_Detalhado[Mês/Ano],OFFSET(Y$4,0,-26)),
SUMIFS(tb_Cartao_Credito_Detalhado[[Mês 28]:[Mês 28]],tb_Cartao_Credito_Detalhado[Mês/Ano],OFFSET(Y$4,0,-27)),
SUMIFS(tb_Cartao_Credito_Detalhado[[Mês 29]:[Mês 29]],tb_Cartao_Credito_Detalhado[Mês/Ano],OFFSET(Y$4,0,-28)),
SUMIFS(tb_Cartao_Credito_Detalhado[[Mês 30]:[Mês 30]],tb_Cartao_Credito_Detalhado[Mês/Ano],OFFSET(Y$4,0,-29)),
SUMIFS(tb_Cartao_Credito_Detalhado[[Mês 31]:[Mês 31]],tb_Cartao_Credito_Detalhado[Mês/Ano],OFFSET(Y$4,0,-30)),
SUMIFS(tb_Cartao_Credito_Detalhado[[Mês 32]:[Mês 32]],tb_Cartao_Credito_Detalhado[Mês/Ano],OFFSET(Y$4,0,-31)),
SUMIFS(tb_Cartao_Credito_Detalhado[[Mês 33]:[Mês 33]],tb_Cartao_Credito_Detalhado[Mês/Ano],OFFSET(Y$4,0,-32)),
SUMIFS(tb_Cartao_Credito_Detalhado[[Mês 34]:[Mês 34]],tb_Cartao_Credito_Detalhado[Mês/Ano],OFFSET(Y$4,0,-33)),
SUMIFS(tb_Cartao_Credito_Detalhado[[Mês 35]:[Mês 35]],tb_Cartao_Credito_Detalhado[Mês/Ano],OFFSET(Y$4,0,-34)),
SUMIFS(tb_Cartao_Credito_Detalhado[[Mês 36]:[Mês 36]],tb_Cartao_Credito_Detalhado[Mês/Ano],OFFSET(Y$4,0,-35)),
SUMIFS(tb_Cartao_Credito_Detalhado[[Mês 37]:[Mês 37]],tb_Cartao_Credito_Detalhado[Mês/Ano],OFFSET(Y$4,0,-36)),
SUMIFS(tb_Cartao_Credito_Detalhado[[Mês 38]:[Mês 38]],tb_Cartao_Credito_Detalhado[Mês/Ano],OFFSET(Y$4,0,-37)),
SUMIFS(tb_Cartao_Credito_Detalhado[[Mês 39]:[Mês 39]],tb_Cartao_Credito_Detalhado[Mês/Ano],OFFSET(Y$4,0,-38)),
SUMIFS(tb_Cartao_Credito_Detalhado[[Mês 40]:[Mês 40]],tb_Cartao_Credito_Detalhado[Mês/Ano],OFFSET(Y$4,0,-39)),
SUMIFS(tb_Cartao_Credito_Detalhado[[Mês 41]:[Mês 41]],tb_Cartao_Credito_Detalhado[Mês/Ano],OFFSET(Y$4,0,-40)),
SUMIFS(tb_Cartao_Credito_Detalhado[[Mês 42]:[Mês 42]],tb_Cartao_Credito_Detalhado[Mês/Ano],OFFSET(Y$4,0,-41)),
SUMIFS(tb_Cartao_Credito_Detalhado[[Mês 43]:[Mês 43]],tb_Cartao_Credito_Detalhado[Mês/Ano],OFFSET(Y$4,0,-42)),
SUMIFS(tb_Cartao_Credito_Detalhado[[Mês 44]:[Mês 44]],tb_Cartao_Credito_Detalhado[Mês/Ano],OFFSET(Y$4,0,-43)),
SUMIFS(tb_Cartao_Credito_Detalhado[[Mês 45]:[Mês 45]],tb_Cartao_Credito_Detalhado[Mês/Ano],OFFSET(Y$4,0,-44)),
)</calculatedColumnFormula>
    </tableColumn>
    <tableColumn id="25" name="nov-2018" dataDxfId="26">
      <calculatedColumnFormula>SUM(
SUMIFS(tb_Cartao_Credito_Detalhado[[Mês 1]:[Mês 1]],tb_Cartao_Credito_Detalhado[Mês/Ano],Z$4),
SUMIFS(tb_Cartao_Credito_Detalhado[[Mês 2]:[Mês 2]],tb_Cartao_Credito_Detalhado[Mês/Ano],OFFSET(Z$4,0,-1)),
SUMIFS(tb_Cartao_Credito_Detalhado[[Mês 3]:[Mês 3]],tb_Cartao_Credito_Detalhado[Mês/Ano],OFFSET(Z$4,0,-2)),
SUMIFS(tb_Cartao_Credito_Detalhado[[Mês 4]:[Mês 4]],tb_Cartao_Credito_Detalhado[Mês/Ano],OFFSET(Z$4,0,-3)),
SUMIFS(tb_Cartao_Credito_Detalhado[[Mês 5]:[Mês 5]],tb_Cartao_Credito_Detalhado[Mês/Ano],OFFSET(Z$4,0,-4)),
SUMIFS(tb_Cartao_Credito_Detalhado[[Mês 6]:[Mês 6]],tb_Cartao_Credito_Detalhado[Mês/Ano],OFFSET(Z$4,0,-5)),
SUMIFS(tb_Cartao_Credito_Detalhado[[Mês 7]:[Mês 7]],tb_Cartao_Credito_Detalhado[Mês/Ano],OFFSET(Z$4,0,-6)),
SUMIFS(tb_Cartao_Credito_Detalhado[[Mês 8]:[Mês 8]],tb_Cartao_Credito_Detalhado[Mês/Ano],OFFSET(Z$4,0,-7)),
SUMIFS(tb_Cartao_Credito_Detalhado[[Mês 9]:[Mês 9]],tb_Cartao_Credito_Detalhado[Mês/Ano],OFFSET(Z$4,0,-8)),
SUMIFS(tb_Cartao_Credito_Detalhado[[Mês 10]:[Mês 10]],tb_Cartao_Credito_Detalhado[Mês/Ano],OFFSET(Z$4,0,-9)),
SUMIFS(tb_Cartao_Credito_Detalhado[[Mês 11]:[Mês 11]],tb_Cartao_Credito_Detalhado[Mês/Ano],OFFSET(Z$4,0,-10)),
SUMIFS(tb_Cartao_Credito_Detalhado[[Mês 12]:[Mês 12]],tb_Cartao_Credito_Detalhado[Mês/Ano],OFFSET(Z$4,0,-11)),
SUMIFS(tb_Cartao_Credito_Detalhado[[Mês 13]:[Mês 13]],tb_Cartao_Credito_Detalhado[Mês/Ano],OFFSET(Z$4,0,-12)),
SUMIFS(tb_Cartao_Credito_Detalhado[[Mês 14]:[Mês 14]],tb_Cartao_Credito_Detalhado[Mês/Ano],OFFSET(Z$4,0,-13)),
SUMIFS(tb_Cartao_Credito_Detalhado[[Mês 15]:[Mês 15]],tb_Cartao_Credito_Detalhado[Mês/Ano],OFFSET(Z$4,0,-14)),
SUMIFS(tb_Cartao_Credito_Detalhado[[Mês 16]:[Mês 16]],tb_Cartao_Credito_Detalhado[Mês/Ano],OFFSET(Z$4,0,-15)),
SUMIFS(tb_Cartao_Credito_Detalhado[[Mês 17]:[Mês 17]],tb_Cartao_Credito_Detalhado[Mês/Ano],OFFSET(Z$4,0,-16)),
SUMIFS(tb_Cartao_Credito_Detalhado[[Mês 18]:[Mês 18]],tb_Cartao_Credito_Detalhado[Mês/Ano],OFFSET(Z$4,0,-17)),
SUMIFS(tb_Cartao_Credito_Detalhado[[Mês 19]:[Mês 19]],tb_Cartao_Credito_Detalhado[Mês/Ano],OFFSET(Z$4,0,-18)),
SUMIFS(tb_Cartao_Credito_Detalhado[[Mês 20]:[Mês 20]],tb_Cartao_Credito_Detalhado[Mês/Ano],OFFSET(Z$4,0,-19)),
SUMIFS(tb_Cartao_Credito_Detalhado[[Mês 21]:[Mês 21]],tb_Cartao_Credito_Detalhado[Mês/Ano],OFFSET(Z$4,0,-20)),
SUMIFS(tb_Cartao_Credito_Detalhado[[Mês 22]:[Mês 22]],tb_Cartao_Credito_Detalhado[Mês/Ano],OFFSET(Z$4,0,-21)),
SUMIFS(tb_Cartao_Credito_Detalhado[[Mês 23]:[Mês 23]],tb_Cartao_Credito_Detalhado[Mês/Ano],OFFSET(Z$4,0,-22)),
SUMIFS(tb_Cartao_Credito_Detalhado[[Mês 24]:[Mês 24]],tb_Cartao_Credito_Detalhado[Mês/Ano],OFFSET(Z$4,0,-23)),
SUMIFS(tb_Cartao_Credito_Detalhado[[Mês 25]:[Mês 25]],tb_Cartao_Credito_Detalhado[Mês/Ano],OFFSET(Z$4,0,-24)),
SUMIFS(tb_Cartao_Credito_Detalhado[[Mês 26]:[Mês 26]],tb_Cartao_Credito_Detalhado[Mês/Ano],OFFSET(Z$4,0,-25)),
SUMIFS(tb_Cartao_Credito_Detalhado[[Mês 27]:[Mês 27]],tb_Cartao_Credito_Detalhado[Mês/Ano],OFFSET(Z$4,0,-26)),
SUMIFS(tb_Cartao_Credito_Detalhado[[Mês 28]:[Mês 28]],tb_Cartao_Credito_Detalhado[Mês/Ano],OFFSET(Z$4,0,-27)),
SUMIFS(tb_Cartao_Credito_Detalhado[[Mês 29]:[Mês 29]],tb_Cartao_Credito_Detalhado[Mês/Ano],OFFSET(Z$4,0,-28)),
SUMIFS(tb_Cartao_Credito_Detalhado[[Mês 30]:[Mês 30]],tb_Cartao_Credito_Detalhado[Mês/Ano],OFFSET(Z$4,0,-29)),
SUMIFS(tb_Cartao_Credito_Detalhado[[Mês 31]:[Mês 31]],tb_Cartao_Credito_Detalhado[Mês/Ano],OFFSET(Z$4,0,-30)),
SUMIFS(tb_Cartao_Credito_Detalhado[[Mês 32]:[Mês 32]],tb_Cartao_Credito_Detalhado[Mês/Ano],OFFSET(Z$4,0,-31)),
SUMIFS(tb_Cartao_Credito_Detalhado[[Mês 33]:[Mês 33]],tb_Cartao_Credito_Detalhado[Mês/Ano],OFFSET(Z$4,0,-32)),
SUMIFS(tb_Cartao_Credito_Detalhado[[Mês 34]:[Mês 34]],tb_Cartao_Credito_Detalhado[Mês/Ano],OFFSET(Z$4,0,-33)),
SUMIFS(tb_Cartao_Credito_Detalhado[[Mês 35]:[Mês 35]],tb_Cartao_Credito_Detalhado[Mês/Ano],OFFSET(Z$4,0,-34)),
SUMIFS(tb_Cartao_Credito_Detalhado[[Mês 36]:[Mês 36]],tb_Cartao_Credito_Detalhado[Mês/Ano],OFFSET(Z$4,0,-35)),
SUMIFS(tb_Cartao_Credito_Detalhado[[Mês 37]:[Mês 37]],tb_Cartao_Credito_Detalhado[Mês/Ano],OFFSET(Z$4,0,-36)),
SUMIFS(tb_Cartao_Credito_Detalhado[[Mês 38]:[Mês 38]],tb_Cartao_Credito_Detalhado[Mês/Ano],OFFSET(Z$4,0,-37)),
SUMIFS(tb_Cartao_Credito_Detalhado[[Mês 39]:[Mês 39]],tb_Cartao_Credito_Detalhado[Mês/Ano],OFFSET(Z$4,0,-38)),
SUMIFS(tb_Cartao_Credito_Detalhado[[Mês 40]:[Mês 40]],tb_Cartao_Credito_Detalhado[Mês/Ano],OFFSET(Z$4,0,-39)),
SUMIFS(tb_Cartao_Credito_Detalhado[[Mês 41]:[Mês 41]],tb_Cartao_Credito_Detalhado[Mês/Ano],OFFSET(Z$4,0,-40)),
SUMIFS(tb_Cartao_Credito_Detalhado[[Mês 42]:[Mês 42]],tb_Cartao_Credito_Detalhado[Mês/Ano],OFFSET(Z$4,0,-41)),
SUMIFS(tb_Cartao_Credito_Detalhado[[Mês 43]:[Mês 43]],tb_Cartao_Credito_Detalhado[Mês/Ano],OFFSET(Z$4,0,-42)),
SUMIFS(tb_Cartao_Credito_Detalhado[[Mês 44]:[Mês 44]],tb_Cartao_Credito_Detalhado[Mês/Ano],OFFSET(Z$4,0,-43)),
SUMIFS(tb_Cartao_Credito_Detalhado[[Mês 45]:[Mês 45]],tb_Cartao_Credito_Detalhado[Mês/Ano],OFFSET(Z$4,0,-44)),
)</calculatedColumnFormula>
    </tableColumn>
    <tableColumn id="26" name="dez-2018" dataDxfId="25">
      <calculatedColumnFormula>SUM(
SUMIFS(tb_Cartao_Credito_Detalhado[[Mês 1]:[Mês 1]],tb_Cartao_Credito_Detalhado[Mês/Ano],AA$4),
SUMIFS(tb_Cartao_Credito_Detalhado[[Mês 2]:[Mês 2]],tb_Cartao_Credito_Detalhado[Mês/Ano],OFFSET(AA$4,0,-1)),
SUMIFS(tb_Cartao_Credito_Detalhado[[Mês 3]:[Mês 3]],tb_Cartao_Credito_Detalhado[Mês/Ano],OFFSET(AA$4,0,-2)),
SUMIFS(tb_Cartao_Credito_Detalhado[[Mês 4]:[Mês 4]],tb_Cartao_Credito_Detalhado[Mês/Ano],OFFSET(AA$4,0,-3)),
SUMIFS(tb_Cartao_Credito_Detalhado[[Mês 5]:[Mês 5]],tb_Cartao_Credito_Detalhado[Mês/Ano],OFFSET(AA$4,0,-4)),
SUMIFS(tb_Cartao_Credito_Detalhado[[Mês 6]:[Mês 6]],tb_Cartao_Credito_Detalhado[Mês/Ano],OFFSET(AA$4,0,-5)),
SUMIFS(tb_Cartao_Credito_Detalhado[[Mês 7]:[Mês 7]],tb_Cartao_Credito_Detalhado[Mês/Ano],OFFSET(AA$4,0,-6)),
SUMIFS(tb_Cartao_Credito_Detalhado[[Mês 8]:[Mês 8]],tb_Cartao_Credito_Detalhado[Mês/Ano],OFFSET(AA$4,0,-7)),
SUMIFS(tb_Cartao_Credito_Detalhado[[Mês 9]:[Mês 9]],tb_Cartao_Credito_Detalhado[Mês/Ano],OFFSET(AA$4,0,-8)),
SUMIFS(tb_Cartao_Credito_Detalhado[[Mês 10]:[Mês 10]],tb_Cartao_Credito_Detalhado[Mês/Ano],OFFSET(AA$4,0,-9)),
SUMIFS(tb_Cartao_Credito_Detalhado[[Mês 11]:[Mês 11]],tb_Cartao_Credito_Detalhado[Mês/Ano],OFFSET(AA$4,0,-10)),
SUMIFS(tb_Cartao_Credito_Detalhado[[Mês 12]:[Mês 12]],tb_Cartao_Credito_Detalhado[Mês/Ano],OFFSET(AA$4,0,-11)),
SUMIFS(tb_Cartao_Credito_Detalhado[[Mês 13]:[Mês 13]],tb_Cartao_Credito_Detalhado[Mês/Ano],OFFSET(AA$4,0,-12)),
SUMIFS(tb_Cartao_Credito_Detalhado[[Mês 14]:[Mês 14]],tb_Cartao_Credito_Detalhado[Mês/Ano],OFFSET(AA$4,0,-13)),
SUMIFS(tb_Cartao_Credito_Detalhado[[Mês 15]:[Mês 15]],tb_Cartao_Credito_Detalhado[Mês/Ano],OFFSET(AA$4,0,-14)),
SUMIFS(tb_Cartao_Credito_Detalhado[[Mês 16]:[Mês 16]],tb_Cartao_Credito_Detalhado[Mês/Ano],OFFSET(AA$4,0,-15)),
SUMIFS(tb_Cartao_Credito_Detalhado[[Mês 17]:[Mês 17]],tb_Cartao_Credito_Detalhado[Mês/Ano],OFFSET(AA$4,0,-16)),
SUMIFS(tb_Cartao_Credito_Detalhado[[Mês 18]:[Mês 18]],tb_Cartao_Credito_Detalhado[Mês/Ano],OFFSET(AA$4,0,-17)),
SUMIFS(tb_Cartao_Credito_Detalhado[[Mês 19]:[Mês 19]],tb_Cartao_Credito_Detalhado[Mês/Ano],OFFSET(AA$4,0,-18)),
SUMIFS(tb_Cartao_Credito_Detalhado[[Mês 20]:[Mês 20]],tb_Cartao_Credito_Detalhado[Mês/Ano],OFFSET(AA$4,0,-19)),
SUMIFS(tb_Cartao_Credito_Detalhado[[Mês 21]:[Mês 21]],tb_Cartao_Credito_Detalhado[Mês/Ano],OFFSET(AA$4,0,-20)),
SUMIFS(tb_Cartao_Credito_Detalhado[[Mês 22]:[Mês 22]],tb_Cartao_Credito_Detalhado[Mês/Ano],OFFSET(AA$4,0,-21)),
SUMIFS(tb_Cartao_Credito_Detalhado[[Mês 23]:[Mês 23]],tb_Cartao_Credito_Detalhado[Mês/Ano],OFFSET(AA$4,0,-22)),
SUMIFS(tb_Cartao_Credito_Detalhado[[Mês 24]:[Mês 24]],tb_Cartao_Credito_Detalhado[Mês/Ano],OFFSET(AA$4,0,-23)),
SUMIFS(tb_Cartao_Credito_Detalhado[[Mês 25]:[Mês 25]],tb_Cartao_Credito_Detalhado[Mês/Ano],OFFSET(AA$4,0,-24)),
SUMIFS(tb_Cartao_Credito_Detalhado[[Mês 26]:[Mês 26]],tb_Cartao_Credito_Detalhado[Mês/Ano],OFFSET(AA$4,0,-25)),
SUMIFS(tb_Cartao_Credito_Detalhado[[Mês 27]:[Mês 27]],tb_Cartao_Credito_Detalhado[Mês/Ano],OFFSET(AA$4,0,-26)),
SUMIFS(tb_Cartao_Credito_Detalhado[[Mês 28]:[Mês 28]],tb_Cartao_Credito_Detalhado[Mês/Ano],OFFSET(AA$4,0,-27)),
SUMIFS(tb_Cartao_Credito_Detalhado[[Mês 29]:[Mês 29]],tb_Cartao_Credito_Detalhado[Mês/Ano],OFFSET(AA$4,0,-28)),
SUMIFS(tb_Cartao_Credito_Detalhado[[Mês 30]:[Mês 30]],tb_Cartao_Credito_Detalhado[Mês/Ano],OFFSET(AA$4,0,-29)),
SUMIFS(tb_Cartao_Credito_Detalhado[[Mês 31]:[Mês 31]],tb_Cartao_Credito_Detalhado[Mês/Ano],OFFSET(AA$4,0,-30)),
SUMIFS(tb_Cartao_Credito_Detalhado[[Mês 32]:[Mês 32]],tb_Cartao_Credito_Detalhado[Mês/Ano],OFFSET(AA$4,0,-31)),
SUMIFS(tb_Cartao_Credito_Detalhado[[Mês 33]:[Mês 33]],tb_Cartao_Credito_Detalhado[Mês/Ano],OFFSET(AA$4,0,-32)),
SUMIFS(tb_Cartao_Credito_Detalhado[[Mês 34]:[Mês 34]],tb_Cartao_Credito_Detalhado[Mês/Ano],OFFSET(AA$4,0,-33)),
SUMIFS(tb_Cartao_Credito_Detalhado[[Mês 35]:[Mês 35]],tb_Cartao_Credito_Detalhado[Mês/Ano],OFFSET(AA$4,0,-34)),
SUMIFS(tb_Cartao_Credito_Detalhado[[Mês 36]:[Mês 36]],tb_Cartao_Credito_Detalhado[Mês/Ano],OFFSET(AA$4,0,-35)),
SUMIFS(tb_Cartao_Credito_Detalhado[[Mês 37]:[Mês 37]],tb_Cartao_Credito_Detalhado[Mês/Ano],OFFSET(AA$4,0,-36)),
SUMIFS(tb_Cartao_Credito_Detalhado[[Mês 38]:[Mês 38]],tb_Cartao_Credito_Detalhado[Mês/Ano],OFFSET(AA$4,0,-37)),
SUMIFS(tb_Cartao_Credito_Detalhado[[Mês 39]:[Mês 39]],tb_Cartao_Credito_Detalhado[Mês/Ano],OFFSET(AA$4,0,-38)),
SUMIFS(tb_Cartao_Credito_Detalhado[[Mês 40]:[Mês 40]],tb_Cartao_Credito_Detalhado[Mês/Ano],OFFSET(AA$4,0,-39)),
SUMIFS(tb_Cartao_Credito_Detalhado[[Mês 41]:[Mês 41]],tb_Cartao_Credito_Detalhado[Mês/Ano],OFFSET(AA$4,0,-40)),
SUMIFS(tb_Cartao_Credito_Detalhado[[Mês 42]:[Mês 42]],tb_Cartao_Credito_Detalhado[Mês/Ano],OFFSET(AA$4,0,-41)),
SUMIFS(tb_Cartao_Credito_Detalhado[[Mês 43]:[Mês 43]],tb_Cartao_Credito_Detalhado[Mês/Ano],OFFSET(AA$4,0,-42)),
SUMIFS(tb_Cartao_Credito_Detalhado[[Mês 44]:[Mês 44]],tb_Cartao_Credito_Detalhado[Mês/Ano],OFFSET(AA$4,0,-43)),
SUMIFS(tb_Cartao_Credito_Detalhado[[Mês 45]:[Mês 45]],tb_Cartao_Credito_Detalhado[Mês/Ano],OFFSET(AA$4,0,-44)),
)</calculatedColumnFormula>
    </tableColumn>
    <tableColumn id="27" name="jan-2019" dataDxfId="24">
      <calculatedColumnFormula>SUM(
SUMIFS(tb_Cartao_Credito_Detalhado[[Mês 1]:[Mês 1]],tb_Cartao_Credito_Detalhado[Mês/Ano],AB$4),
SUMIFS(tb_Cartao_Credito_Detalhado[[Mês 2]:[Mês 2]],tb_Cartao_Credito_Detalhado[Mês/Ano],OFFSET(AB$4,0,-1)),
SUMIFS(tb_Cartao_Credito_Detalhado[[Mês 3]:[Mês 3]],tb_Cartao_Credito_Detalhado[Mês/Ano],OFFSET(AB$4,0,-2)),
SUMIFS(tb_Cartao_Credito_Detalhado[[Mês 4]:[Mês 4]],tb_Cartao_Credito_Detalhado[Mês/Ano],OFFSET(AB$4,0,-3)),
SUMIFS(tb_Cartao_Credito_Detalhado[[Mês 5]:[Mês 5]],tb_Cartao_Credito_Detalhado[Mês/Ano],OFFSET(AB$4,0,-4)),
SUMIFS(tb_Cartao_Credito_Detalhado[[Mês 6]:[Mês 6]],tb_Cartao_Credito_Detalhado[Mês/Ano],OFFSET(AB$4,0,-5)),
SUMIFS(tb_Cartao_Credito_Detalhado[[Mês 7]:[Mês 7]],tb_Cartao_Credito_Detalhado[Mês/Ano],OFFSET(AB$4,0,-6)),
SUMIFS(tb_Cartao_Credito_Detalhado[[Mês 8]:[Mês 8]],tb_Cartao_Credito_Detalhado[Mês/Ano],OFFSET(AB$4,0,-7)),
SUMIFS(tb_Cartao_Credito_Detalhado[[Mês 9]:[Mês 9]],tb_Cartao_Credito_Detalhado[Mês/Ano],OFFSET(AB$4,0,-8)),
SUMIFS(tb_Cartao_Credito_Detalhado[[Mês 10]:[Mês 10]],tb_Cartao_Credito_Detalhado[Mês/Ano],OFFSET(AB$4,0,-9)),
SUMIFS(tb_Cartao_Credito_Detalhado[[Mês 11]:[Mês 11]],tb_Cartao_Credito_Detalhado[Mês/Ano],OFFSET(AB$4,0,-10)),
SUMIFS(tb_Cartao_Credito_Detalhado[[Mês 12]:[Mês 12]],tb_Cartao_Credito_Detalhado[Mês/Ano],OFFSET(AB$4,0,-11)),
SUMIFS(tb_Cartao_Credito_Detalhado[[Mês 13]:[Mês 13]],tb_Cartao_Credito_Detalhado[Mês/Ano],OFFSET(AB$4,0,-12)),
SUMIFS(tb_Cartao_Credito_Detalhado[[Mês 14]:[Mês 14]],tb_Cartao_Credito_Detalhado[Mês/Ano],OFFSET(AB$4,0,-13)),
SUMIFS(tb_Cartao_Credito_Detalhado[[Mês 15]:[Mês 15]],tb_Cartao_Credito_Detalhado[Mês/Ano],OFFSET(AB$4,0,-14)),
SUMIFS(tb_Cartao_Credito_Detalhado[[Mês 16]:[Mês 16]],tb_Cartao_Credito_Detalhado[Mês/Ano],OFFSET(AB$4,0,-15)),
SUMIFS(tb_Cartao_Credito_Detalhado[[Mês 17]:[Mês 17]],tb_Cartao_Credito_Detalhado[Mês/Ano],OFFSET(AB$4,0,-16)),
SUMIFS(tb_Cartao_Credito_Detalhado[[Mês 18]:[Mês 18]],tb_Cartao_Credito_Detalhado[Mês/Ano],OFFSET(AB$4,0,-17)),
SUMIFS(tb_Cartao_Credito_Detalhado[[Mês 19]:[Mês 19]],tb_Cartao_Credito_Detalhado[Mês/Ano],OFFSET(AB$4,0,-18)),
SUMIFS(tb_Cartao_Credito_Detalhado[[Mês 20]:[Mês 20]],tb_Cartao_Credito_Detalhado[Mês/Ano],OFFSET(AB$4,0,-19)),
SUMIFS(tb_Cartao_Credito_Detalhado[[Mês 21]:[Mês 21]],tb_Cartao_Credito_Detalhado[Mês/Ano],OFFSET(AB$4,0,-20)),
SUMIFS(tb_Cartao_Credito_Detalhado[[Mês 22]:[Mês 22]],tb_Cartao_Credito_Detalhado[Mês/Ano],OFFSET(AB$4,0,-21)),
SUMIFS(tb_Cartao_Credito_Detalhado[[Mês 23]:[Mês 23]],tb_Cartao_Credito_Detalhado[Mês/Ano],OFFSET(AB$4,0,-22)),
SUMIFS(tb_Cartao_Credito_Detalhado[[Mês 24]:[Mês 24]],tb_Cartao_Credito_Detalhado[Mês/Ano],OFFSET(AB$4,0,-23)),
SUMIFS(tb_Cartao_Credito_Detalhado[[Mês 25]:[Mês 25]],tb_Cartao_Credito_Detalhado[Mês/Ano],OFFSET(AB$4,0,-24)),
SUMIFS(tb_Cartao_Credito_Detalhado[[Mês 26]:[Mês 26]],tb_Cartao_Credito_Detalhado[Mês/Ano],OFFSET(AB$4,0,-25)),
SUMIFS(tb_Cartao_Credito_Detalhado[[Mês 27]:[Mês 27]],tb_Cartao_Credito_Detalhado[Mês/Ano],OFFSET(AB$4,0,-26)),
SUMIFS(tb_Cartao_Credito_Detalhado[[Mês 28]:[Mês 28]],tb_Cartao_Credito_Detalhado[Mês/Ano],OFFSET(AB$4,0,-27)),
SUMIFS(tb_Cartao_Credito_Detalhado[[Mês 29]:[Mês 29]],tb_Cartao_Credito_Detalhado[Mês/Ano],OFFSET(AB$4,0,-28)),
SUMIFS(tb_Cartao_Credito_Detalhado[[Mês 30]:[Mês 30]],tb_Cartao_Credito_Detalhado[Mês/Ano],OFFSET(AB$4,0,-29)),
SUMIFS(tb_Cartao_Credito_Detalhado[[Mês 31]:[Mês 31]],tb_Cartao_Credito_Detalhado[Mês/Ano],OFFSET(AB$4,0,-30)),
SUMIFS(tb_Cartao_Credito_Detalhado[[Mês 32]:[Mês 32]],tb_Cartao_Credito_Detalhado[Mês/Ano],OFFSET(AB$4,0,-31)),
SUMIFS(tb_Cartao_Credito_Detalhado[[Mês 33]:[Mês 33]],tb_Cartao_Credito_Detalhado[Mês/Ano],OFFSET(AB$4,0,-32)),
SUMIFS(tb_Cartao_Credito_Detalhado[[Mês 34]:[Mês 34]],tb_Cartao_Credito_Detalhado[Mês/Ano],OFFSET(AB$4,0,-33)),
SUMIFS(tb_Cartao_Credito_Detalhado[[Mês 35]:[Mês 35]],tb_Cartao_Credito_Detalhado[Mês/Ano],OFFSET(AB$4,0,-34)),
SUMIFS(tb_Cartao_Credito_Detalhado[[Mês 36]:[Mês 36]],tb_Cartao_Credito_Detalhado[Mês/Ano],OFFSET(AB$4,0,-35)),
SUMIFS(tb_Cartao_Credito_Detalhado[[Mês 37]:[Mês 37]],tb_Cartao_Credito_Detalhado[Mês/Ano],OFFSET(AB$4,0,-36)),
SUMIFS(tb_Cartao_Credito_Detalhado[[Mês 38]:[Mês 38]],tb_Cartao_Credito_Detalhado[Mês/Ano],OFFSET(AB$4,0,-37)),
SUMIFS(tb_Cartao_Credito_Detalhado[[Mês 39]:[Mês 39]],tb_Cartao_Credito_Detalhado[Mês/Ano],OFFSET(AB$4,0,-38)),
SUMIFS(tb_Cartao_Credito_Detalhado[[Mês 40]:[Mês 40]],tb_Cartao_Credito_Detalhado[Mês/Ano],OFFSET(AB$4,0,-39)),
SUMIFS(tb_Cartao_Credito_Detalhado[[Mês 41]:[Mês 41]],tb_Cartao_Credito_Detalhado[Mês/Ano],OFFSET(AB$4,0,-40)),
SUMIFS(tb_Cartao_Credito_Detalhado[[Mês 42]:[Mês 42]],tb_Cartao_Credito_Detalhado[Mês/Ano],OFFSET(AB$4,0,-41)),
SUMIFS(tb_Cartao_Credito_Detalhado[[Mês 43]:[Mês 43]],tb_Cartao_Credito_Detalhado[Mês/Ano],OFFSET(AB$4,0,-42)),
SUMIFS(tb_Cartao_Credito_Detalhado[[Mês 44]:[Mês 44]],tb_Cartao_Credito_Detalhado[Mês/Ano],OFFSET(AB$4,0,-43)),
SUMIFS(tb_Cartao_Credito_Detalhado[[Mês 45]:[Mês 45]],tb_Cartao_Credito_Detalhado[Mês/Ano],OFFSET(AB$4,0,-44)),
)</calculatedColumnFormula>
    </tableColumn>
    <tableColumn id="28" name="fev-2019" dataDxfId="23">
      <calculatedColumnFormula>SUM(
SUMIFS(tb_Cartao_Credito_Detalhado[[Mês 1]:[Mês 1]],tb_Cartao_Credito_Detalhado[Mês/Ano],AC$4),
SUMIFS(tb_Cartao_Credito_Detalhado[[Mês 2]:[Mês 2]],tb_Cartao_Credito_Detalhado[Mês/Ano],OFFSET(AC$4,0,-1)),
SUMIFS(tb_Cartao_Credito_Detalhado[[Mês 3]:[Mês 3]],tb_Cartao_Credito_Detalhado[Mês/Ano],OFFSET(AC$4,0,-2)),
SUMIFS(tb_Cartao_Credito_Detalhado[[Mês 4]:[Mês 4]],tb_Cartao_Credito_Detalhado[Mês/Ano],OFFSET(AC$4,0,-3)),
SUMIFS(tb_Cartao_Credito_Detalhado[[Mês 5]:[Mês 5]],tb_Cartao_Credito_Detalhado[Mês/Ano],OFFSET(AC$4,0,-4)),
SUMIFS(tb_Cartao_Credito_Detalhado[[Mês 6]:[Mês 6]],tb_Cartao_Credito_Detalhado[Mês/Ano],OFFSET(AC$4,0,-5)),
SUMIFS(tb_Cartao_Credito_Detalhado[[Mês 7]:[Mês 7]],tb_Cartao_Credito_Detalhado[Mês/Ano],OFFSET(AC$4,0,-6)),
SUMIFS(tb_Cartao_Credito_Detalhado[[Mês 8]:[Mês 8]],tb_Cartao_Credito_Detalhado[Mês/Ano],OFFSET(AC$4,0,-7)),
SUMIFS(tb_Cartao_Credito_Detalhado[[Mês 9]:[Mês 9]],tb_Cartao_Credito_Detalhado[Mês/Ano],OFFSET(AC$4,0,-8)),
SUMIFS(tb_Cartao_Credito_Detalhado[[Mês 10]:[Mês 10]],tb_Cartao_Credito_Detalhado[Mês/Ano],OFFSET(AC$4,0,-9)),
SUMIFS(tb_Cartao_Credito_Detalhado[[Mês 11]:[Mês 11]],tb_Cartao_Credito_Detalhado[Mês/Ano],OFFSET(AC$4,0,-10)),
SUMIFS(tb_Cartao_Credito_Detalhado[[Mês 12]:[Mês 12]],tb_Cartao_Credito_Detalhado[Mês/Ano],OFFSET(AC$4,0,-11)),
SUMIFS(tb_Cartao_Credito_Detalhado[[Mês 13]:[Mês 13]],tb_Cartao_Credito_Detalhado[Mês/Ano],OFFSET(AC$4,0,-12)),
SUMIFS(tb_Cartao_Credito_Detalhado[[Mês 14]:[Mês 14]],tb_Cartao_Credito_Detalhado[Mês/Ano],OFFSET(AC$4,0,-13)),
SUMIFS(tb_Cartao_Credito_Detalhado[[Mês 15]:[Mês 15]],tb_Cartao_Credito_Detalhado[Mês/Ano],OFFSET(AC$4,0,-14)),
SUMIFS(tb_Cartao_Credito_Detalhado[[Mês 16]:[Mês 16]],tb_Cartao_Credito_Detalhado[Mês/Ano],OFFSET(AC$4,0,-15)),
SUMIFS(tb_Cartao_Credito_Detalhado[[Mês 17]:[Mês 17]],tb_Cartao_Credito_Detalhado[Mês/Ano],OFFSET(AC$4,0,-16)),
SUMIFS(tb_Cartao_Credito_Detalhado[[Mês 18]:[Mês 18]],tb_Cartao_Credito_Detalhado[Mês/Ano],OFFSET(AC$4,0,-17)),
SUMIFS(tb_Cartao_Credito_Detalhado[[Mês 19]:[Mês 19]],tb_Cartao_Credito_Detalhado[Mês/Ano],OFFSET(AC$4,0,-18)),
SUMIFS(tb_Cartao_Credito_Detalhado[[Mês 20]:[Mês 20]],tb_Cartao_Credito_Detalhado[Mês/Ano],OFFSET(AC$4,0,-19)),
SUMIFS(tb_Cartao_Credito_Detalhado[[Mês 21]:[Mês 21]],tb_Cartao_Credito_Detalhado[Mês/Ano],OFFSET(AC$4,0,-20)),
SUMIFS(tb_Cartao_Credito_Detalhado[[Mês 22]:[Mês 22]],tb_Cartao_Credito_Detalhado[Mês/Ano],OFFSET(AC$4,0,-21)),
SUMIFS(tb_Cartao_Credito_Detalhado[[Mês 23]:[Mês 23]],tb_Cartao_Credito_Detalhado[Mês/Ano],OFFSET(AC$4,0,-22)),
SUMIFS(tb_Cartao_Credito_Detalhado[[Mês 24]:[Mês 24]],tb_Cartao_Credito_Detalhado[Mês/Ano],OFFSET(AC$4,0,-23)),
SUMIFS(tb_Cartao_Credito_Detalhado[[Mês 25]:[Mês 25]],tb_Cartao_Credito_Detalhado[Mês/Ano],OFFSET(AC$4,0,-24)),
SUMIFS(tb_Cartao_Credito_Detalhado[[Mês 26]:[Mês 26]],tb_Cartao_Credito_Detalhado[Mês/Ano],OFFSET(AC$4,0,-25)),
SUMIFS(tb_Cartao_Credito_Detalhado[[Mês 27]:[Mês 27]],tb_Cartao_Credito_Detalhado[Mês/Ano],OFFSET(AC$4,0,-26)),
SUMIFS(tb_Cartao_Credito_Detalhado[[Mês 28]:[Mês 28]],tb_Cartao_Credito_Detalhado[Mês/Ano],OFFSET(AC$4,0,-27)),
SUMIFS(tb_Cartao_Credito_Detalhado[[Mês 29]:[Mês 29]],tb_Cartao_Credito_Detalhado[Mês/Ano],OFFSET(AC$4,0,-28)),
SUMIFS(tb_Cartao_Credito_Detalhado[[Mês 30]:[Mês 30]],tb_Cartao_Credito_Detalhado[Mês/Ano],OFFSET(AC$4,0,-29)),
SUMIFS(tb_Cartao_Credito_Detalhado[[Mês 31]:[Mês 31]],tb_Cartao_Credito_Detalhado[Mês/Ano],OFFSET(AC$4,0,-30)),
SUMIFS(tb_Cartao_Credito_Detalhado[[Mês 32]:[Mês 32]],tb_Cartao_Credito_Detalhado[Mês/Ano],OFFSET(AC$4,0,-31)),
SUMIFS(tb_Cartao_Credito_Detalhado[[Mês 33]:[Mês 33]],tb_Cartao_Credito_Detalhado[Mês/Ano],OFFSET(AC$4,0,-32)),
SUMIFS(tb_Cartao_Credito_Detalhado[[Mês 34]:[Mês 34]],tb_Cartao_Credito_Detalhado[Mês/Ano],OFFSET(AC$4,0,-33)),
SUMIFS(tb_Cartao_Credito_Detalhado[[Mês 35]:[Mês 35]],tb_Cartao_Credito_Detalhado[Mês/Ano],OFFSET(AC$4,0,-34)),
SUMIFS(tb_Cartao_Credito_Detalhado[[Mês 36]:[Mês 36]],tb_Cartao_Credito_Detalhado[Mês/Ano],OFFSET(AC$4,0,-35)),
SUMIFS(tb_Cartao_Credito_Detalhado[[Mês 37]:[Mês 37]],tb_Cartao_Credito_Detalhado[Mês/Ano],OFFSET(AC$4,0,-36)),
SUMIFS(tb_Cartao_Credito_Detalhado[[Mês 38]:[Mês 38]],tb_Cartao_Credito_Detalhado[Mês/Ano],OFFSET(AC$4,0,-37)),
SUMIFS(tb_Cartao_Credito_Detalhado[[Mês 39]:[Mês 39]],tb_Cartao_Credito_Detalhado[Mês/Ano],OFFSET(AC$4,0,-38)),
SUMIFS(tb_Cartao_Credito_Detalhado[[Mês 40]:[Mês 40]],tb_Cartao_Credito_Detalhado[Mês/Ano],OFFSET(AC$4,0,-39)),
SUMIFS(tb_Cartao_Credito_Detalhado[[Mês 41]:[Mês 41]],tb_Cartao_Credito_Detalhado[Mês/Ano],OFFSET(AC$4,0,-40)),
SUMIFS(tb_Cartao_Credito_Detalhado[[Mês 42]:[Mês 42]],tb_Cartao_Credito_Detalhado[Mês/Ano],OFFSET(AC$4,0,-41)),
SUMIFS(tb_Cartao_Credito_Detalhado[[Mês 43]:[Mês 43]],tb_Cartao_Credito_Detalhado[Mês/Ano],OFFSET(AC$4,0,-42)),
SUMIFS(tb_Cartao_Credito_Detalhado[[Mês 44]:[Mês 44]],tb_Cartao_Credito_Detalhado[Mês/Ano],OFFSET(AC$4,0,-43)),
SUMIFS(tb_Cartao_Credito_Detalhado[[Mês 45]:[Mês 45]],tb_Cartao_Credito_Detalhado[Mês/Ano],OFFSET(AC$4,0,-44)),
)</calculatedColumnFormula>
    </tableColumn>
    <tableColumn id="29" name="mar-2019" dataDxfId="22">
      <calculatedColumnFormula>SUM(
SUMIFS(tb_Cartao_Credito_Detalhado[[Mês 1]:[Mês 1]],tb_Cartao_Credito_Detalhado[Mês/Ano],AD$4),
SUMIFS(tb_Cartao_Credito_Detalhado[[Mês 2]:[Mês 2]],tb_Cartao_Credito_Detalhado[Mês/Ano],OFFSET(AD$4,0,-1)),
SUMIFS(tb_Cartao_Credito_Detalhado[[Mês 3]:[Mês 3]],tb_Cartao_Credito_Detalhado[Mês/Ano],OFFSET(AD$4,0,-2)),
SUMIFS(tb_Cartao_Credito_Detalhado[[Mês 4]:[Mês 4]],tb_Cartao_Credito_Detalhado[Mês/Ano],OFFSET(AD$4,0,-3)),
SUMIFS(tb_Cartao_Credito_Detalhado[[Mês 5]:[Mês 5]],tb_Cartao_Credito_Detalhado[Mês/Ano],OFFSET(AD$4,0,-4)),
SUMIFS(tb_Cartao_Credito_Detalhado[[Mês 6]:[Mês 6]],tb_Cartao_Credito_Detalhado[Mês/Ano],OFFSET(AD$4,0,-5)),
SUMIFS(tb_Cartao_Credito_Detalhado[[Mês 7]:[Mês 7]],tb_Cartao_Credito_Detalhado[Mês/Ano],OFFSET(AD$4,0,-6)),
SUMIFS(tb_Cartao_Credito_Detalhado[[Mês 8]:[Mês 8]],tb_Cartao_Credito_Detalhado[Mês/Ano],OFFSET(AD$4,0,-7)),
SUMIFS(tb_Cartao_Credito_Detalhado[[Mês 9]:[Mês 9]],tb_Cartao_Credito_Detalhado[Mês/Ano],OFFSET(AD$4,0,-8)),
SUMIFS(tb_Cartao_Credito_Detalhado[[Mês 10]:[Mês 10]],tb_Cartao_Credito_Detalhado[Mês/Ano],OFFSET(AD$4,0,-9)),
SUMIFS(tb_Cartao_Credito_Detalhado[[Mês 11]:[Mês 11]],tb_Cartao_Credito_Detalhado[Mês/Ano],OFFSET(AD$4,0,-10)),
SUMIFS(tb_Cartao_Credito_Detalhado[[Mês 12]:[Mês 12]],tb_Cartao_Credito_Detalhado[Mês/Ano],OFFSET(AD$4,0,-11)),
SUMIFS(tb_Cartao_Credito_Detalhado[[Mês 13]:[Mês 13]],tb_Cartao_Credito_Detalhado[Mês/Ano],OFFSET(AD$4,0,-12)),
SUMIFS(tb_Cartao_Credito_Detalhado[[Mês 14]:[Mês 14]],tb_Cartao_Credito_Detalhado[Mês/Ano],OFFSET(AD$4,0,-13)),
SUMIFS(tb_Cartao_Credito_Detalhado[[Mês 15]:[Mês 15]],tb_Cartao_Credito_Detalhado[Mês/Ano],OFFSET(AD$4,0,-14)),
SUMIFS(tb_Cartao_Credito_Detalhado[[Mês 16]:[Mês 16]],tb_Cartao_Credito_Detalhado[Mês/Ano],OFFSET(AD$4,0,-15)),
SUMIFS(tb_Cartao_Credito_Detalhado[[Mês 17]:[Mês 17]],tb_Cartao_Credito_Detalhado[Mês/Ano],OFFSET(AD$4,0,-16)),
SUMIFS(tb_Cartao_Credito_Detalhado[[Mês 18]:[Mês 18]],tb_Cartao_Credito_Detalhado[Mês/Ano],OFFSET(AD$4,0,-17)),
SUMIFS(tb_Cartao_Credito_Detalhado[[Mês 19]:[Mês 19]],tb_Cartao_Credito_Detalhado[Mês/Ano],OFFSET(AD$4,0,-18)),
SUMIFS(tb_Cartao_Credito_Detalhado[[Mês 20]:[Mês 20]],tb_Cartao_Credito_Detalhado[Mês/Ano],OFFSET(AD$4,0,-19)),
SUMIFS(tb_Cartao_Credito_Detalhado[[Mês 21]:[Mês 21]],tb_Cartao_Credito_Detalhado[Mês/Ano],OFFSET(AD$4,0,-20)),
SUMIFS(tb_Cartao_Credito_Detalhado[[Mês 22]:[Mês 22]],tb_Cartao_Credito_Detalhado[Mês/Ano],OFFSET(AD$4,0,-21)),
SUMIFS(tb_Cartao_Credito_Detalhado[[Mês 23]:[Mês 23]],tb_Cartao_Credito_Detalhado[Mês/Ano],OFFSET(AD$4,0,-22)),
SUMIFS(tb_Cartao_Credito_Detalhado[[Mês 24]:[Mês 24]],tb_Cartao_Credito_Detalhado[Mês/Ano],OFFSET(AD$4,0,-23)),
SUMIFS(tb_Cartao_Credito_Detalhado[[Mês 25]:[Mês 25]],tb_Cartao_Credito_Detalhado[Mês/Ano],OFFSET(AD$4,0,-24)),
SUMIFS(tb_Cartao_Credito_Detalhado[[Mês 26]:[Mês 26]],tb_Cartao_Credito_Detalhado[Mês/Ano],OFFSET(AD$4,0,-25)),
SUMIFS(tb_Cartao_Credito_Detalhado[[Mês 27]:[Mês 27]],tb_Cartao_Credito_Detalhado[Mês/Ano],OFFSET(AD$4,0,-26)),
SUMIFS(tb_Cartao_Credito_Detalhado[[Mês 28]:[Mês 28]],tb_Cartao_Credito_Detalhado[Mês/Ano],OFFSET(AD$4,0,-27)),
SUMIFS(tb_Cartao_Credito_Detalhado[[Mês 29]:[Mês 29]],tb_Cartao_Credito_Detalhado[Mês/Ano],OFFSET(AD$4,0,-28)),
SUMIFS(tb_Cartao_Credito_Detalhado[[Mês 30]:[Mês 30]],tb_Cartao_Credito_Detalhado[Mês/Ano],OFFSET(AD$4,0,-29)),
SUMIFS(tb_Cartao_Credito_Detalhado[[Mês 31]:[Mês 31]],tb_Cartao_Credito_Detalhado[Mês/Ano],OFFSET(AD$4,0,-30)),
SUMIFS(tb_Cartao_Credito_Detalhado[[Mês 32]:[Mês 32]],tb_Cartao_Credito_Detalhado[Mês/Ano],OFFSET(AD$4,0,-31)),
SUMIFS(tb_Cartao_Credito_Detalhado[[Mês 33]:[Mês 33]],tb_Cartao_Credito_Detalhado[Mês/Ano],OFFSET(AD$4,0,-32)),
SUMIFS(tb_Cartao_Credito_Detalhado[[Mês 34]:[Mês 34]],tb_Cartao_Credito_Detalhado[Mês/Ano],OFFSET(AD$4,0,-33)),
SUMIFS(tb_Cartao_Credito_Detalhado[[Mês 35]:[Mês 35]],tb_Cartao_Credito_Detalhado[Mês/Ano],OFFSET(AD$4,0,-34)),
SUMIFS(tb_Cartao_Credito_Detalhado[[Mês 36]:[Mês 36]],tb_Cartao_Credito_Detalhado[Mês/Ano],OFFSET(AD$4,0,-35)),
SUMIFS(tb_Cartao_Credito_Detalhado[[Mês 37]:[Mês 37]],tb_Cartao_Credito_Detalhado[Mês/Ano],OFFSET(AD$4,0,-36)),
SUMIFS(tb_Cartao_Credito_Detalhado[[Mês 38]:[Mês 38]],tb_Cartao_Credito_Detalhado[Mês/Ano],OFFSET(AD$4,0,-37)),
SUMIFS(tb_Cartao_Credito_Detalhado[[Mês 39]:[Mês 39]],tb_Cartao_Credito_Detalhado[Mês/Ano],OFFSET(AD$4,0,-38)),
SUMIFS(tb_Cartao_Credito_Detalhado[[Mês 40]:[Mês 40]],tb_Cartao_Credito_Detalhado[Mês/Ano],OFFSET(AD$4,0,-39)),
SUMIFS(tb_Cartao_Credito_Detalhado[[Mês 41]:[Mês 41]],tb_Cartao_Credito_Detalhado[Mês/Ano],OFFSET(AD$4,0,-40)),
SUMIFS(tb_Cartao_Credito_Detalhado[[Mês 42]:[Mês 42]],tb_Cartao_Credito_Detalhado[Mês/Ano],OFFSET(AD$4,0,-41)),
SUMIFS(tb_Cartao_Credito_Detalhado[[Mês 43]:[Mês 43]],tb_Cartao_Credito_Detalhado[Mês/Ano],OFFSET(AD$4,0,-42)),
SUMIFS(tb_Cartao_Credito_Detalhado[[Mês 44]:[Mês 44]],tb_Cartao_Credito_Detalhado[Mês/Ano],OFFSET(AD$4,0,-43)),
SUMIFS(tb_Cartao_Credito_Detalhado[[Mês 45]:[Mês 45]],tb_Cartao_Credito_Detalhado[Mês/Ano],OFFSET(AD$4,0,-44)),
)</calculatedColumnFormula>
    </tableColumn>
    <tableColumn id="30" name="abr-2019" dataDxfId="21">
      <calculatedColumnFormula>SUM(
SUMIFS(tb_Cartao_Credito_Detalhado[[Mês 1]:[Mês 1]],tb_Cartao_Credito_Detalhado[Mês/Ano],AE$4),
SUMIFS(tb_Cartao_Credito_Detalhado[[Mês 2]:[Mês 2]],tb_Cartao_Credito_Detalhado[Mês/Ano],OFFSET(AE$4,0,-1)),
SUMIFS(tb_Cartao_Credito_Detalhado[[Mês 3]:[Mês 3]],tb_Cartao_Credito_Detalhado[Mês/Ano],OFFSET(AE$4,0,-2)),
SUMIFS(tb_Cartao_Credito_Detalhado[[Mês 4]:[Mês 4]],tb_Cartao_Credito_Detalhado[Mês/Ano],OFFSET(AE$4,0,-3)),
SUMIFS(tb_Cartao_Credito_Detalhado[[Mês 5]:[Mês 5]],tb_Cartao_Credito_Detalhado[Mês/Ano],OFFSET(AE$4,0,-4)),
SUMIFS(tb_Cartao_Credito_Detalhado[[Mês 6]:[Mês 6]],tb_Cartao_Credito_Detalhado[Mês/Ano],OFFSET(AE$4,0,-5)),
SUMIFS(tb_Cartao_Credito_Detalhado[[Mês 7]:[Mês 7]],tb_Cartao_Credito_Detalhado[Mês/Ano],OFFSET(AE$4,0,-6)),
SUMIFS(tb_Cartao_Credito_Detalhado[[Mês 8]:[Mês 8]],tb_Cartao_Credito_Detalhado[Mês/Ano],OFFSET(AE$4,0,-7)),
SUMIFS(tb_Cartao_Credito_Detalhado[[Mês 9]:[Mês 9]],tb_Cartao_Credito_Detalhado[Mês/Ano],OFFSET(AE$4,0,-8)),
SUMIFS(tb_Cartao_Credito_Detalhado[[Mês 10]:[Mês 10]],tb_Cartao_Credito_Detalhado[Mês/Ano],OFFSET(AE$4,0,-9)),
SUMIFS(tb_Cartao_Credito_Detalhado[[Mês 11]:[Mês 11]],tb_Cartao_Credito_Detalhado[Mês/Ano],OFFSET(AE$4,0,-10)),
SUMIFS(tb_Cartao_Credito_Detalhado[[Mês 12]:[Mês 12]],tb_Cartao_Credito_Detalhado[Mês/Ano],OFFSET(AE$4,0,-11)),
SUMIFS(tb_Cartao_Credito_Detalhado[[Mês 13]:[Mês 13]],tb_Cartao_Credito_Detalhado[Mês/Ano],OFFSET(AE$4,0,-12)),
SUMIFS(tb_Cartao_Credito_Detalhado[[Mês 14]:[Mês 14]],tb_Cartao_Credito_Detalhado[Mês/Ano],OFFSET(AE$4,0,-13)),
SUMIFS(tb_Cartao_Credito_Detalhado[[Mês 15]:[Mês 15]],tb_Cartao_Credito_Detalhado[Mês/Ano],OFFSET(AE$4,0,-14)),
SUMIFS(tb_Cartao_Credito_Detalhado[[Mês 16]:[Mês 16]],tb_Cartao_Credito_Detalhado[Mês/Ano],OFFSET(AE$4,0,-15)),
SUMIFS(tb_Cartao_Credito_Detalhado[[Mês 17]:[Mês 17]],tb_Cartao_Credito_Detalhado[Mês/Ano],OFFSET(AE$4,0,-16)),
SUMIFS(tb_Cartao_Credito_Detalhado[[Mês 18]:[Mês 18]],tb_Cartao_Credito_Detalhado[Mês/Ano],OFFSET(AE$4,0,-17)),
SUMIFS(tb_Cartao_Credito_Detalhado[[Mês 19]:[Mês 19]],tb_Cartao_Credito_Detalhado[Mês/Ano],OFFSET(AE$4,0,-18)),
SUMIFS(tb_Cartao_Credito_Detalhado[[Mês 20]:[Mês 20]],tb_Cartao_Credito_Detalhado[Mês/Ano],OFFSET(AE$4,0,-19)),
SUMIFS(tb_Cartao_Credito_Detalhado[[Mês 21]:[Mês 21]],tb_Cartao_Credito_Detalhado[Mês/Ano],OFFSET(AE$4,0,-20)),
SUMIFS(tb_Cartao_Credito_Detalhado[[Mês 22]:[Mês 22]],tb_Cartao_Credito_Detalhado[Mês/Ano],OFFSET(AE$4,0,-21)),
SUMIFS(tb_Cartao_Credito_Detalhado[[Mês 23]:[Mês 23]],tb_Cartao_Credito_Detalhado[Mês/Ano],OFFSET(AE$4,0,-22)),
SUMIFS(tb_Cartao_Credito_Detalhado[[Mês 24]:[Mês 24]],tb_Cartao_Credito_Detalhado[Mês/Ano],OFFSET(AE$4,0,-23)),
SUMIFS(tb_Cartao_Credito_Detalhado[[Mês 25]:[Mês 25]],tb_Cartao_Credito_Detalhado[Mês/Ano],OFFSET(AE$4,0,-24)),
SUMIFS(tb_Cartao_Credito_Detalhado[[Mês 26]:[Mês 26]],tb_Cartao_Credito_Detalhado[Mês/Ano],OFFSET(AE$4,0,-25)),
SUMIFS(tb_Cartao_Credito_Detalhado[[Mês 27]:[Mês 27]],tb_Cartao_Credito_Detalhado[Mês/Ano],OFFSET(AE$4,0,-26)),
SUMIFS(tb_Cartao_Credito_Detalhado[[Mês 28]:[Mês 28]],tb_Cartao_Credito_Detalhado[Mês/Ano],OFFSET(AE$4,0,-27)),
SUMIFS(tb_Cartao_Credito_Detalhado[[Mês 29]:[Mês 29]],tb_Cartao_Credito_Detalhado[Mês/Ano],OFFSET(AE$4,0,-28)),
SUMIFS(tb_Cartao_Credito_Detalhado[[Mês 30]:[Mês 30]],tb_Cartao_Credito_Detalhado[Mês/Ano],OFFSET(AE$4,0,-29)),
SUMIFS(tb_Cartao_Credito_Detalhado[[Mês 31]:[Mês 31]],tb_Cartao_Credito_Detalhado[Mês/Ano],OFFSET(AE$4,0,-30)),
SUMIFS(tb_Cartao_Credito_Detalhado[[Mês 32]:[Mês 32]],tb_Cartao_Credito_Detalhado[Mês/Ano],OFFSET(AE$4,0,-31)),
SUMIFS(tb_Cartao_Credito_Detalhado[[Mês 33]:[Mês 33]],tb_Cartao_Credito_Detalhado[Mês/Ano],OFFSET(AE$4,0,-32)),
SUMIFS(tb_Cartao_Credito_Detalhado[[Mês 34]:[Mês 34]],tb_Cartao_Credito_Detalhado[Mês/Ano],OFFSET(AE$4,0,-33)),
SUMIFS(tb_Cartao_Credito_Detalhado[[Mês 35]:[Mês 35]],tb_Cartao_Credito_Detalhado[Mês/Ano],OFFSET(AE$4,0,-34)),
SUMIFS(tb_Cartao_Credito_Detalhado[[Mês 36]:[Mês 36]],tb_Cartao_Credito_Detalhado[Mês/Ano],OFFSET(AE$4,0,-35)),
SUMIFS(tb_Cartao_Credito_Detalhado[[Mês 37]:[Mês 37]],tb_Cartao_Credito_Detalhado[Mês/Ano],OFFSET(AE$4,0,-36)),
SUMIFS(tb_Cartao_Credito_Detalhado[[Mês 38]:[Mês 38]],tb_Cartao_Credito_Detalhado[Mês/Ano],OFFSET(AE$4,0,-37)),
SUMIFS(tb_Cartao_Credito_Detalhado[[Mês 39]:[Mês 39]],tb_Cartao_Credito_Detalhado[Mês/Ano],OFFSET(AE$4,0,-38)),
SUMIFS(tb_Cartao_Credito_Detalhado[[Mês 40]:[Mês 40]],tb_Cartao_Credito_Detalhado[Mês/Ano],OFFSET(AE$4,0,-39)),
SUMIFS(tb_Cartao_Credito_Detalhado[[Mês 41]:[Mês 41]],tb_Cartao_Credito_Detalhado[Mês/Ano],OFFSET(AE$4,0,-40)),
SUMIFS(tb_Cartao_Credito_Detalhado[[Mês 42]:[Mês 42]],tb_Cartao_Credito_Detalhado[Mês/Ano],OFFSET(AE$4,0,-41)),
SUMIFS(tb_Cartao_Credito_Detalhado[[Mês 43]:[Mês 43]],tb_Cartao_Credito_Detalhado[Mês/Ano],OFFSET(AE$4,0,-42)),
SUMIFS(tb_Cartao_Credito_Detalhado[[Mês 44]:[Mês 44]],tb_Cartao_Credito_Detalhado[Mês/Ano],OFFSET(AE$4,0,-43)),
SUMIFS(tb_Cartao_Credito_Detalhado[[Mês 45]:[Mês 45]],tb_Cartao_Credito_Detalhado[Mês/Ano],OFFSET(AE$4,0,-44)),
)</calculatedColumnFormula>
    </tableColumn>
    <tableColumn id="31" name="mai-2019" dataDxfId="20">
      <calculatedColumnFormula>SUM(
SUMIFS(tb_Cartao_Credito_Detalhado[[Mês 1]:[Mês 1]],tb_Cartao_Credito_Detalhado[Mês/Ano],AF$4),
SUMIFS(tb_Cartao_Credito_Detalhado[[Mês 2]:[Mês 2]],tb_Cartao_Credito_Detalhado[Mês/Ano],OFFSET(AF$4,0,-1)),
SUMIFS(tb_Cartao_Credito_Detalhado[[Mês 3]:[Mês 3]],tb_Cartao_Credito_Detalhado[Mês/Ano],OFFSET(AF$4,0,-2)),
SUMIFS(tb_Cartao_Credito_Detalhado[[Mês 4]:[Mês 4]],tb_Cartao_Credito_Detalhado[Mês/Ano],OFFSET(AF$4,0,-3)),
SUMIFS(tb_Cartao_Credito_Detalhado[[Mês 5]:[Mês 5]],tb_Cartao_Credito_Detalhado[Mês/Ano],OFFSET(AF$4,0,-4)),
SUMIFS(tb_Cartao_Credito_Detalhado[[Mês 6]:[Mês 6]],tb_Cartao_Credito_Detalhado[Mês/Ano],OFFSET(AF$4,0,-5)),
SUMIFS(tb_Cartao_Credito_Detalhado[[Mês 7]:[Mês 7]],tb_Cartao_Credito_Detalhado[Mês/Ano],OFFSET(AF$4,0,-6)),
SUMIFS(tb_Cartao_Credito_Detalhado[[Mês 8]:[Mês 8]],tb_Cartao_Credito_Detalhado[Mês/Ano],OFFSET(AF$4,0,-7)),
SUMIFS(tb_Cartao_Credito_Detalhado[[Mês 9]:[Mês 9]],tb_Cartao_Credito_Detalhado[Mês/Ano],OFFSET(AF$4,0,-8)),
SUMIFS(tb_Cartao_Credito_Detalhado[[Mês 10]:[Mês 10]],tb_Cartao_Credito_Detalhado[Mês/Ano],OFFSET(AF$4,0,-9)),
SUMIFS(tb_Cartao_Credito_Detalhado[[Mês 11]:[Mês 11]],tb_Cartao_Credito_Detalhado[Mês/Ano],OFFSET(AF$4,0,-10)),
SUMIFS(tb_Cartao_Credito_Detalhado[[Mês 12]:[Mês 12]],tb_Cartao_Credito_Detalhado[Mês/Ano],OFFSET(AF$4,0,-11)),
SUMIFS(tb_Cartao_Credito_Detalhado[[Mês 13]:[Mês 13]],tb_Cartao_Credito_Detalhado[Mês/Ano],OFFSET(AF$4,0,-12)),
SUMIFS(tb_Cartao_Credito_Detalhado[[Mês 14]:[Mês 14]],tb_Cartao_Credito_Detalhado[Mês/Ano],OFFSET(AF$4,0,-13)),
SUMIFS(tb_Cartao_Credito_Detalhado[[Mês 15]:[Mês 15]],tb_Cartao_Credito_Detalhado[Mês/Ano],OFFSET(AF$4,0,-14)),
SUMIFS(tb_Cartao_Credito_Detalhado[[Mês 16]:[Mês 16]],tb_Cartao_Credito_Detalhado[Mês/Ano],OFFSET(AF$4,0,-15)),
SUMIFS(tb_Cartao_Credito_Detalhado[[Mês 17]:[Mês 17]],tb_Cartao_Credito_Detalhado[Mês/Ano],OFFSET(AF$4,0,-16)),
SUMIFS(tb_Cartao_Credito_Detalhado[[Mês 18]:[Mês 18]],tb_Cartao_Credito_Detalhado[Mês/Ano],OFFSET(AF$4,0,-17)),
SUMIFS(tb_Cartao_Credito_Detalhado[[Mês 19]:[Mês 19]],tb_Cartao_Credito_Detalhado[Mês/Ano],OFFSET(AF$4,0,-18)),
SUMIFS(tb_Cartao_Credito_Detalhado[[Mês 20]:[Mês 20]],tb_Cartao_Credito_Detalhado[Mês/Ano],OFFSET(AF$4,0,-19)),
SUMIFS(tb_Cartao_Credito_Detalhado[[Mês 21]:[Mês 21]],tb_Cartao_Credito_Detalhado[Mês/Ano],OFFSET(AF$4,0,-20)),
SUMIFS(tb_Cartao_Credito_Detalhado[[Mês 22]:[Mês 22]],tb_Cartao_Credito_Detalhado[Mês/Ano],OFFSET(AF$4,0,-21)),
SUMIFS(tb_Cartao_Credito_Detalhado[[Mês 23]:[Mês 23]],tb_Cartao_Credito_Detalhado[Mês/Ano],OFFSET(AF$4,0,-22)),
SUMIFS(tb_Cartao_Credito_Detalhado[[Mês 24]:[Mês 24]],tb_Cartao_Credito_Detalhado[Mês/Ano],OFFSET(AF$4,0,-23)),
SUMIFS(tb_Cartao_Credito_Detalhado[[Mês 25]:[Mês 25]],tb_Cartao_Credito_Detalhado[Mês/Ano],OFFSET(AF$4,0,-24)),
SUMIFS(tb_Cartao_Credito_Detalhado[[Mês 26]:[Mês 26]],tb_Cartao_Credito_Detalhado[Mês/Ano],OFFSET(AF$4,0,-25)),
SUMIFS(tb_Cartao_Credito_Detalhado[[Mês 27]:[Mês 27]],tb_Cartao_Credito_Detalhado[Mês/Ano],OFFSET(AF$4,0,-26)),
SUMIFS(tb_Cartao_Credito_Detalhado[[Mês 28]:[Mês 28]],tb_Cartao_Credito_Detalhado[Mês/Ano],OFFSET(AF$4,0,-27)),
SUMIFS(tb_Cartao_Credito_Detalhado[[Mês 29]:[Mês 29]],tb_Cartao_Credito_Detalhado[Mês/Ano],OFFSET(AF$4,0,-28)),
SUMIFS(tb_Cartao_Credito_Detalhado[[Mês 30]:[Mês 30]],tb_Cartao_Credito_Detalhado[Mês/Ano],OFFSET(AF$4,0,-29)),
SUMIFS(tb_Cartao_Credito_Detalhado[[Mês 31]:[Mês 31]],tb_Cartao_Credito_Detalhado[Mês/Ano],OFFSET(AF$4,0,-30)),
SUMIFS(tb_Cartao_Credito_Detalhado[[Mês 32]:[Mês 32]],tb_Cartao_Credito_Detalhado[Mês/Ano],OFFSET(AF$4,0,-31)),
SUMIFS(tb_Cartao_Credito_Detalhado[[Mês 33]:[Mês 33]],tb_Cartao_Credito_Detalhado[Mês/Ano],OFFSET(AF$4,0,-32)),
SUMIFS(tb_Cartao_Credito_Detalhado[[Mês 34]:[Mês 34]],tb_Cartao_Credito_Detalhado[Mês/Ano],OFFSET(AF$4,0,-33)),
SUMIFS(tb_Cartao_Credito_Detalhado[[Mês 35]:[Mês 35]],tb_Cartao_Credito_Detalhado[Mês/Ano],OFFSET(AF$4,0,-34)),
SUMIFS(tb_Cartao_Credito_Detalhado[[Mês 36]:[Mês 36]],tb_Cartao_Credito_Detalhado[Mês/Ano],OFFSET(AF$4,0,-35)),
SUMIFS(tb_Cartao_Credito_Detalhado[[Mês 37]:[Mês 37]],tb_Cartao_Credito_Detalhado[Mês/Ano],OFFSET(AF$4,0,-36)),
SUMIFS(tb_Cartao_Credito_Detalhado[[Mês 38]:[Mês 38]],tb_Cartao_Credito_Detalhado[Mês/Ano],OFFSET(AF$4,0,-37)),
SUMIFS(tb_Cartao_Credito_Detalhado[[Mês 39]:[Mês 39]],tb_Cartao_Credito_Detalhado[Mês/Ano],OFFSET(AF$4,0,-38)),
SUMIFS(tb_Cartao_Credito_Detalhado[[Mês 40]:[Mês 40]],tb_Cartao_Credito_Detalhado[Mês/Ano],OFFSET(AF$4,0,-39)),
SUMIFS(tb_Cartao_Credito_Detalhado[[Mês 41]:[Mês 41]],tb_Cartao_Credito_Detalhado[Mês/Ano],OFFSET(AF$4,0,-40)),
SUMIFS(tb_Cartao_Credito_Detalhado[[Mês 42]:[Mês 42]],tb_Cartao_Credito_Detalhado[Mês/Ano],OFFSET(AF$4,0,-41)),
SUMIFS(tb_Cartao_Credito_Detalhado[[Mês 43]:[Mês 43]],tb_Cartao_Credito_Detalhado[Mês/Ano],OFFSET(AF$4,0,-42)),
SUMIFS(tb_Cartao_Credito_Detalhado[[Mês 44]:[Mês 44]],tb_Cartao_Credito_Detalhado[Mês/Ano],OFFSET(AF$4,0,-43)),
SUMIFS(tb_Cartao_Credito_Detalhado[[Mês 45]:[Mês 45]],tb_Cartao_Credito_Detalhado[Mês/Ano],OFFSET(AF$4,0,-44)),
)</calculatedColumnFormula>
    </tableColumn>
    <tableColumn id="32" name="jun-2019" dataDxfId="19">
      <calculatedColumnFormula>SUM(
SUMIFS(tb_Cartao_Credito_Detalhado[[Mês 1]:[Mês 1]],tb_Cartao_Credito_Detalhado[Mês/Ano],AG$4),
SUMIFS(tb_Cartao_Credito_Detalhado[[Mês 2]:[Mês 2]],tb_Cartao_Credito_Detalhado[Mês/Ano],OFFSET(AG$4,0,-1)),
SUMIFS(tb_Cartao_Credito_Detalhado[[Mês 3]:[Mês 3]],tb_Cartao_Credito_Detalhado[Mês/Ano],OFFSET(AG$4,0,-2)),
SUMIFS(tb_Cartao_Credito_Detalhado[[Mês 4]:[Mês 4]],tb_Cartao_Credito_Detalhado[Mês/Ano],OFFSET(AG$4,0,-3)),
SUMIFS(tb_Cartao_Credito_Detalhado[[Mês 5]:[Mês 5]],tb_Cartao_Credito_Detalhado[Mês/Ano],OFFSET(AG$4,0,-4)),
SUMIFS(tb_Cartao_Credito_Detalhado[[Mês 6]:[Mês 6]],tb_Cartao_Credito_Detalhado[Mês/Ano],OFFSET(AG$4,0,-5)),
SUMIFS(tb_Cartao_Credito_Detalhado[[Mês 7]:[Mês 7]],tb_Cartao_Credito_Detalhado[Mês/Ano],OFFSET(AG$4,0,-6)),
SUMIFS(tb_Cartao_Credito_Detalhado[[Mês 8]:[Mês 8]],tb_Cartao_Credito_Detalhado[Mês/Ano],OFFSET(AG$4,0,-7)),
SUMIFS(tb_Cartao_Credito_Detalhado[[Mês 9]:[Mês 9]],tb_Cartao_Credito_Detalhado[Mês/Ano],OFFSET(AG$4,0,-8)),
SUMIFS(tb_Cartao_Credito_Detalhado[[Mês 10]:[Mês 10]],tb_Cartao_Credito_Detalhado[Mês/Ano],OFFSET(AG$4,0,-9)),
SUMIFS(tb_Cartao_Credito_Detalhado[[Mês 11]:[Mês 11]],tb_Cartao_Credito_Detalhado[Mês/Ano],OFFSET(AG$4,0,-10)),
SUMIFS(tb_Cartao_Credito_Detalhado[[Mês 12]:[Mês 12]],tb_Cartao_Credito_Detalhado[Mês/Ano],OFFSET(AG$4,0,-11)),
SUMIFS(tb_Cartao_Credito_Detalhado[[Mês 13]:[Mês 13]],tb_Cartao_Credito_Detalhado[Mês/Ano],OFFSET(AG$4,0,-12)),
SUMIFS(tb_Cartao_Credito_Detalhado[[Mês 14]:[Mês 14]],tb_Cartao_Credito_Detalhado[Mês/Ano],OFFSET(AG$4,0,-13)),
SUMIFS(tb_Cartao_Credito_Detalhado[[Mês 15]:[Mês 15]],tb_Cartao_Credito_Detalhado[Mês/Ano],OFFSET(AG$4,0,-14)),
SUMIFS(tb_Cartao_Credito_Detalhado[[Mês 16]:[Mês 16]],tb_Cartao_Credito_Detalhado[Mês/Ano],OFFSET(AG$4,0,-15)),
SUMIFS(tb_Cartao_Credito_Detalhado[[Mês 17]:[Mês 17]],tb_Cartao_Credito_Detalhado[Mês/Ano],OFFSET(AG$4,0,-16)),
SUMIFS(tb_Cartao_Credito_Detalhado[[Mês 18]:[Mês 18]],tb_Cartao_Credito_Detalhado[Mês/Ano],OFFSET(AG$4,0,-17)),
SUMIFS(tb_Cartao_Credito_Detalhado[[Mês 19]:[Mês 19]],tb_Cartao_Credito_Detalhado[Mês/Ano],OFFSET(AG$4,0,-18)),
SUMIFS(tb_Cartao_Credito_Detalhado[[Mês 20]:[Mês 20]],tb_Cartao_Credito_Detalhado[Mês/Ano],OFFSET(AG$4,0,-19)),
SUMIFS(tb_Cartao_Credito_Detalhado[[Mês 21]:[Mês 21]],tb_Cartao_Credito_Detalhado[Mês/Ano],OFFSET(AG$4,0,-20)),
SUMIFS(tb_Cartao_Credito_Detalhado[[Mês 22]:[Mês 22]],tb_Cartao_Credito_Detalhado[Mês/Ano],OFFSET(AG$4,0,-21)),
SUMIFS(tb_Cartao_Credito_Detalhado[[Mês 23]:[Mês 23]],tb_Cartao_Credito_Detalhado[Mês/Ano],OFFSET(AG$4,0,-22)),
SUMIFS(tb_Cartao_Credito_Detalhado[[Mês 24]:[Mês 24]],tb_Cartao_Credito_Detalhado[Mês/Ano],OFFSET(AG$4,0,-23)),
SUMIFS(tb_Cartao_Credito_Detalhado[[Mês 25]:[Mês 25]],tb_Cartao_Credito_Detalhado[Mês/Ano],OFFSET(AG$4,0,-24)),
SUMIFS(tb_Cartao_Credito_Detalhado[[Mês 26]:[Mês 26]],tb_Cartao_Credito_Detalhado[Mês/Ano],OFFSET(AG$4,0,-25)),
SUMIFS(tb_Cartao_Credito_Detalhado[[Mês 27]:[Mês 27]],tb_Cartao_Credito_Detalhado[Mês/Ano],OFFSET(AG$4,0,-26)),
SUMIFS(tb_Cartao_Credito_Detalhado[[Mês 28]:[Mês 28]],tb_Cartao_Credito_Detalhado[Mês/Ano],OFFSET(AG$4,0,-27)),
SUMIFS(tb_Cartao_Credito_Detalhado[[Mês 29]:[Mês 29]],tb_Cartao_Credito_Detalhado[Mês/Ano],OFFSET(AG$4,0,-28)),
SUMIFS(tb_Cartao_Credito_Detalhado[[Mês 30]:[Mês 30]],tb_Cartao_Credito_Detalhado[Mês/Ano],OFFSET(AG$4,0,-29)),
SUMIFS(tb_Cartao_Credito_Detalhado[[Mês 31]:[Mês 31]],tb_Cartao_Credito_Detalhado[Mês/Ano],OFFSET(AG$4,0,-30)),
SUMIFS(tb_Cartao_Credito_Detalhado[[Mês 32]:[Mês 32]],tb_Cartao_Credito_Detalhado[Mês/Ano],OFFSET(AG$4,0,-31)),
SUMIFS(tb_Cartao_Credito_Detalhado[[Mês 33]:[Mês 33]],tb_Cartao_Credito_Detalhado[Mês/Ano],OFFSET(AG$4,0,-32)),
SUMIFS(tb_Cartao_Credito_Detalhado[[Mês 34]:[Mês 34]],tb_Cartao_Credito_Detalhado[Mês/Ano],OFFSET(AG$4,0,-33)),
SUMIFS(tb_Cartao_Credito_Detalhado[[Mês 35]:[Mês 35]],tb_Cartao_Credito_Detalhado[Mês/Ano],OFFSET(AG$4,0,-34)),
SUMIFS(tb_Cartao_Credito_Detalhado[[Mês 36]:[Mês 36]],tb_Cartao_Credito_Detalhado[Mês/Ano],OFFSET(AG$4,0,-35)),
SUMIFS(tb_Cartao_Credito_Detalhado[[Mês 37]:[Mês 37]],tb_Cartao_Credito_Detalhado[Mês/Ano],OFFSET(AG$4,0,-36)),
SUMIFS(tb_Cartao_Credito_Detalhado[[Mês 38]:[Mês 38]],tb_Cartao_Credito_Detalhado[Mês/Ano],OFFSET(AG$4,0,-37)),
SUMIFS(tb_Cartao_Credito_Detalhado[[Mês 39]:[Mês 39]],tb_Cartao_Credito_Detalhado[Mês/Ano],OFFSET(AG$4,0,-38)),
SUMIFS(tb_Cartao_Credito_Detalhado[[Mês 40]:[Mês 40]],tb_Cartao_Credito_Detalhado[Mês/Ano],OFFSET(AG$4,0,-39)),
SUMIFS(tb_Cartao_Credito_Detalhado[[Mês 41]:[Mês 41]],tb_Cartao_Credito_Detalhado[Mês/Ano],OFFSET(AG$4,0,-40)),
SUMIFS(tb_Cartao_Credito_Detalhado[[Mês 42]:[Mês 42]],tb_Cartao_Credito_Detalhado[Mês/Ano],OFFSET(AG$4,0,-41)),
SUMIFS(tb_Cartao_Credito_Detalhado[[Mês 43]:[Mês 43]],tb_Cartao_Credito_Detalhado[Mês/Ano],OFFSET(AG$4,0,-42)),
SUMIFS(tb_Cartao_Credito_Detalhado[[Mês 44]:[Mês 44]],tb_Cartao_Credito_Detalhado[Mês/Ano],OFFSET(AG$4,0,-43)),
SUMIFS(tb_Cartao_Credito_Detalhado[[Mês 45]:[Mês 45]],tb_Cartao_Credito_Detalhado[Mês/Ano],OFFSET(AG$4,0,-44)),
)</calculatedColumnFormula>
    </tableColumn>
    <tableColumn id="33" name="jul-2019" dataDxfId="18">
      <calculatedColumnFormula>SUM(
SUMIFS(tb_Cartao_Credito_Detalhado[[Mês 1]:[Mês 1]],tb_Cartao_Credito_Detalhado[Mês/Ano],AH$4),
SUMIFS(tb_Cartao_Credito_Detalhado[[Mês 2]:[Mês 2]],tb_Cartao_Credito_Detalhado[Mês/Ano],OFFSET(AH$4,0,-1)),
SUMIFS(tb_Cartao_Credito_Detalhado[[Mês 3]:[Mês 3]],tb_Cartao_Credito_Detalhado[Mês/Ano],OFFSET(AH$4,0,-2)),
SUMIFS(tb_Cartao_Credito_Detalhado[[Mês 4]:[Mês 4]],tb_Cartao_Credito_Detalhado[Mês/Ano],OFFSET(AH$4,0,-3)),
SUMIFS(tb_Cartao_Credito_Detalhado[[Mês 5]:[Mês 5]],tb_Cartao_Credito_Detalhado[Mês/Ano],OFFSET(AH$4,0,-4)),
SUMIFS(tb_Cartao_Credito_Detalhado[[Mês 6]:[Mês 6]],tb_Cartao_Credito_Detalhado[Mês/Ano],OFFSET(AH$4,0,-5)),
SUMIFS(tb_Cartao_Credito_Detalhado[[Mês 7]:[Mês 7]],tb_Cartao_Credito_Detalhado[Mês/Ano],OFFSET(AH$4,0,-6)),
SUMIFS(tb_Cartao_Credito_Detalhado[[Mês 8]:[Mês 8]],tb_Cartao_Credito_Detalhado[Mês/Ano],OFFSET(AH$4,0,-7)),
SUMIFS(tb_Cartao_Credito_Detalhado[[Mês 9]:[Mês 9]],tb_Cartao_Credito_Detalhado[Mês/Ano],OFFSET(AH$4,0,-8)),
SUMIFS(tb_Cartao_Credito_Detalhado[[Mês 10]:[Mês 10]],tb_Cartao_Credito_Detalhado[Mês/Ano],OFFSET(AH$4,0,-9)),
SUMIFS(tb_Cartao_Credito_Detalhado[[Mês 11]:[Mês 11]],tb_Cartao_Credito_Detalhado[Mês/Ano],OFFSET(AH$4,0,-10)),
SUMIFS(tb_Cartao_Credito_Detalhado[[Mês 12]:[Mês 12]],tb_Cartao_Credito_Detalhado[Mês/Ano],OFFSET(AH$4,0,-11)),
SUMIFS(tb_Cartao_Credito_Detalhado[[Mês 13]:[Mês 13]],tb_Cartao_Credito_Detalhado[Mês/Ano],OFFSET(AH$4,0,-12)),
SUMIFS(tb_Cartao_Credito_Detalhado[[Mês 14]:[Mês 14]],tb_Cartao_Credito_Detalhado[Mês/Ano],OFFSET(AH$4,0,-13)),
SUMIFS(tb_Cartao_Credito_Detalhado[[Mês 15]:[Mês 15]],tb_Cartao_Credito_Detalhado[Mês/Ano],OFFSET(AH$4,0,-14)),
SUMIFS(tb_Cartao_Credito_Detalhado[[Mês 16]:[Mês 16]],tb_Cartao_Credito_Detalhado[Mês/Ano],OFFSET(AH$4,0,-15)),
SUMIFS(tb_Cartao_Credito_Detalhado[[Mês 17]:[Mês 17]],tb_Cartao_Credito_Detalhado[Mês/Ano],OFFSET(AH$4,0,-16)),
SUMIFS(tb_Cartao_Credito_Detalhado[[Mês 18]:[Mês 18]],tb_Cartao_Credito_Detalhado[Mês/Ano],OFFSET(AH$4,0,-17)),
SUMIFS(tb_Cartao_Credito_Detalhado[[Mês 19]:[Mês 19]],tb_Cartao_Credito_Detalhado[Mês/Ano],OFFSET(AH$4,0,-18)),
SUMIFS(tb_Cartao_Credito_Detalhado[[Mês 20]:[Mês 20]],tb_Cartao_Credito_Detalhado[Mês/Ano],OFFSET(AH$4,0,-19)),
SUMIFS(tb_Cartao_Credito_Detalhado[[Mês 21]:[Mês 21]],tb_Cartao_Credito_Detalhado[Mês/Ano],OFFSET(AH$4,0,-20)),
SUMIFS(tb_Cartao_Credito_Detalhado[[Mês 22]:[Mês 22]],tb_Cartao_Credito_Detalhado[Mês/Ano],OFFSET(AH$4,0,-21)),
SUMIFS(tb_Cartao_Credito_Detalhado[[Mês 23]:[Mês 23]],tb_Cartao_Credito_Detalhado[Mês/Ano],OFFSET(AH$4,0,-22)),
SUMIFS(tb_Cartao_Credito_Detalhado[[Mês 24]:[Mês 24]],tb_Cartao_Credito_Detalhado[Mês/Ano],OFFSET(AH$4,0,-23)),
SUMIFS(tb_Cartao_Credito_Detalhado[[Mês 25]:[Mês 25]],tb_Cartao_Credito_Detalhado[Mês/Ano],OFFSET(AH$4,0,-24)),
SUMIFS(tb_Cartao_Credito_Detalhado[[Mês 26]:[Mês 26]],tb_Cartao_Credito_Detalhado[Mês/Ano],OFFSET(AH$4,0,-25)),
SUMIFS(tb_Cartao_Credito_Detalhado[[Mês 27]:[Mês 27]],tb_Cartao_Credito_Detalhado[Mês/Ano],OFFSET(AH$4,0,-26)),
SUMIFS(tb_Cartao_Credito_Detalhado[[Mês 28]:[Mês 28]],tb_Cartao_Credito_Detalhado[Mês/Ano],OFFSET(AH$4,0,-27)),
SUMIFS(tb_Cartao_Credito_Detalhado[[Mês 29]:[Mês 29]],tb_Cartao_Credito_Detalhado[Mês/Ano],OFFSET(AH$4,0,-28)),
SUMIFS(tb_Cartao_Credito_Detalhado[[Mês 30]:[Mês 30]],tb_Cartao_Credito_Detalhado[Mês/Ano],OFFSET(AH$4,0,-29)),
SUMIFS(tb_Cartao_Credito_Detalhado[[Mês 31]:[Mês 31]],tb_Cartao_Credito_Detalhado[Mês/Ano],OFFSET(AH$4,0,-30)),
SUMIFS(tb_Cartao_Credito_Detalhado[[Mês 32]:[Mês 32]],tb_Cartao_Credito_Detalhado[Mês/Ano],OFFSET(AH$4,0,-31)),
SUMIFS(tb_Cartao_Credito_Detalhado[[Mês 33]:[Mês 33]],tb_Cartao_Credito_Detalhado[Mês/Ano],OFFSET(AH$4,0,-32)),
SUMIFS(tb_Cartao_Credito_Detalhado[[Mês 34]:[Mês 34]],tb_Cartao_Credito_Detalhado[Mês/Ano],OFFSET(AH$4,0,-33)),
SUMIFS(tb_Cartao_Credito_Detalhado[[Mês 35]:[Mês 35]],tb_Cartao_Credito_Detalhado[Mês/Ano],OFFSET(AH$4,0,-34)),
SUMIFS(tb_Cartao_Credito_Detalhado[[Mês 36]:[Mês 36]],tb_Cartao_Credito_Detalhado[Mês/Ano],OFFSET(AH$4,0,-35)),
SUMIFS(tb_Cartao_Credito_Detalhado[[Mês 37]:[Mês 37]],tb_Cartao_Credito_Detalhado[Mês/Ano],OFFSET(AH$4,0,-36)),
SUMIFS(tb_Cartao_Credito_Detalhado[[Mês 38]:[Mês 38]],tb_Cartao_Credito_Detalhado[Mês/Ano],OFFSET(AH$4,0,-37)),
SUMIFS(tb_Cartao_Credito_Detalhado[[Mês 39]:[Mês 39]],tb_Cartao_Credito_Detalhado[Mês/Ano],OFFSET(AH$4,0,-38)),
SUMIFS(tb_Cartao_Credito_Detalhado[[Mês 40]:[Mês 40]],tb_Cartao_Credito_Detalhado[Mês/Ano],OFFSET(AH$4,0,-39)),
SUMIFS(tb_Cartao_Credito_Detalhado[[Mês 41]:[Mês 41]],tb_Cartao_Credito_Detalhado[Mês/Ano],OFFSET(AH$4,0,-40)),
SUMIFS(tb_Cartao_Credito_Detalhado[[Mês 42]:[Mês 42]],tb_Cartao_Credito_Detalhado[Mês/Ano],OFFSET(AH$4,0,-41)),
SUMIFS(tb_Cartao_Credito_Detalhado[[Mês 43]:[Mês 43]],tb_Cartao_Credito_Detalhado[Mês/Ano],OFFSET(AH$4,0,-42)),
SUMIFS(tb_Cartao_Credito_Detalhado[[Mês 44]:[Mês 44]],tb_Cartao_Credito_Detalhado[Mês/Ano],OFFSET(AH$4,0,-43)),
SUMIFS(tb_Cartao_Credito_Detalhado[[Mês 45]:[Mês 45]],tb_Cartao_Credito_Detalhado[Mês/Ano],OFFSET(AH$4,0,-44)),
)</calculatedColumnFormula>
    </tableColumn>
    <tableColumn id="34" name="ago-2019" dataDxfId="17">
      <calculatedColumnFormula>SUM(
SUMIFS(tb_Cartao_Credito_Detalhado[[Mês 1]:[Mês 1]],tb_Cartao_Credito_Detalhado[Mês/Ano],AI$4),
SUMIFS(tb_Cartao_Credito_Detalhado[[Mês 2]:[Mês 2]],tb_Cartao_Credito_Detalhado[Mês/Ano],OFFSET(AI$4,0,-1)),
SUMIFS(tb_Cartao_Credito_Detalhado[[Mês 3]:[Mês 3]],tb_Cartao_Credito_Detalhado[Mês/Ano],OFFSET(AI$4,0,-2)),
SUMIFS(tb_Cartao_Credito_Detalhado[[Mês 4]:[Mês 4]],tb_Cartao_Credito_Detalhado[Mês/Ano],OFFSET(AI$4,0,-3)),
SUMIFS(tb_Cartao_Credito_Detalhado[[Mês 5]:[Mês 5]],tb_Cartao_Credito_Detalhado[Mês/Ano],OFFSET(AI$4,0,-4)),
SUMIFS(tb_Cartao_Credito_Detalhado[[Mês 6]:[Mês 6]],tb_Cartao_Credito_Detalhado[Mês/Ano],OFFSET(AI$4,0,-5)),
SUMIFS(tb_Cartao_Credito_Detalhado[[Mês 7]:[Mês 7]],tb_Cartao_Credito_Detalhado[Mês/Ano],OFFSET(AI$4,0,-6)),
SUMIFS(tb_Cartao_Credito_Detalhado[[Mês 8]:[Mês 8]],tb_Cartao_Credito_Detalhado[Mês/Ano],OFFSET(AI$4,0,-7)),
SUMIFS(tb_Cartao_Credito_Detalhado[[Mês 9]:[Mês 9]],tb_Cartao_Credito_Detalhado[Mês/Ano],OFFSET(AI$4,0,-8)),
SUMIFS(tb_Cartao_Credito_Detalhado[[Mês 10]:[Mês 10]],tb_Cartao_Credito_Detalhado[Mês/Ano],OFFSET(AI$4,0,-9)),
SUMIFS(tb_Cartao_Credito_Detalhado[[Mês 11]:[Mês 11]],tb_Cartao_Credito_Detalhado[Mês/Ano],OFFSET(AI$4,0,-10)),
SUMIFS(tb_Cartao_Credito_Detalhado[[Mês 12]:[Mês 12]],tb_Cartao_Credito_Detalhado[Mês/Ano],OFFSET(AI$4,0,-11)),
SUMIFS(tb_Cartao_Credito_Detalhado[[Mês 13]:[Mês 13]],tb_Cartao_Credito_Detalhado[Mês/Ano],OFFSET(AI$4,0,-12)),
SUMIFS(tb_Cartao_Credito_Detalhado[[Mês 14]:[Mês 14]],tb_Cartao_Credito_Detalhado[Mês/Ano],OFFSET(AI$4,0,-13)),
SUMIFS(tb_Cartao_Credito_Detalhado[[Mês 15]:[Mês 15]],tb_Cartao_Credito_Detalhado[Mês/Ano],OFFSET(AI$4,0,-14)),
SUMIFS(tb_Cartao_Credito_Detalhado[[Mês 16]:[Mês 16]],tb_Cartao_Credito_Detalhado[Mês/Ano],OFFSET(AI$4,0,-15)),
SUMIFS(tb_Cartao_Credito_Detalhado[[Mês 17]:[Mês 17]],tb_Cartao_Credito_Detalhado[Mês/Ano],OFFSET(AI$4,0,-16)),
SUMIFS(tb_Cartao_Credito_Detalhado[[Mês 18]:[Mês 18]],tb_Cartao_Credito_Detalhado[Mês/Ano],OFFSET(AI$4,0,-17)),
SUMIFS(tb_Cartao_Credito_Detalhado[[Mês 19]:[Mês 19]],tb_Cartao_Credito_Detalhado[Mês/Ano],OFFSET(AI$4,0,-18)),
SUMIFS(tb_Cartao_Credito_Detalhado[[Mês 20]:[Mês 20]],tb_Cartao_Credito_Detalhado[Mês/Ano],OFFSET(AI$4,0,-19)),
SUMIFS(tb_Cartao_Credito_Detalhado[[Mês 21]:[Mês 21]],tb_Cartao_Credito_Detalhado[Mês/Ano],OFFSET(AI$4,0,-20)),
SUMIFS(tb_Cartao_Credito_Detalhado[[Mês 22]:[Mês 22]],tb_Cartao_Credito_Detalhado[Mês/Ano],OFFSET(AI$4,0,-21)),
SUMIFS(tb_Cartao_Credito_Detalhado[[Mês 23]:[Mês 23]],tb_Cartao_Credito_Detalhado[Mês/Ano],OFFSET(AI$4,0,-22)),
SUMIFS(tb_Cartao_Credito_Detalhado[[Mês 24]:[Mês 24]],tb_Cartao_Credito_Detalhado[Mês/Ano],OFFSET(AI$4,0,-23)),
SUMIFS(tb_Cartao_Credito_Detalhado[[Mês 25]:[Mês 25]],tb_Cartao_Credito_Detalhado[Mês/Ano],OFFSET(AI$4,0,-24)),
SUMIFS(tb_Cartao_Credito_Detalhado[[Mês 26]:[Mês 26]],tb_Cartao_Credito_Detalhado[Mês/Ano],OFFSET(AI$4,0,-25)),
SUMIFS(tb_Cartao_Credito_Detalhado[[Mês 27]:[Mês 27]],tb_Cartao_Credito_Detalhado[Mês/Ano],OFFSET(AI$4,0,-26)),
SUMIFS(tb_Cartao_Credito_Detalhado[[Mês 28]:[Mês 28]],tb_Cartao_Credito_Detalhado[Mês/Ano],OFFSET(AI$4,0,-27)),
SUMIFS(tb_Cartao_Credito_Detalhado[[Mês 29]:[Mês 29]],tb_Cartao_Credito_Detalhado[Mês/Ano],OFFSET(AI$4,0,-28)),
SUMIFS(tb_Cartao_Credito_Detalhado[[Mês 30]:[Mês 30]],tb_Cartao_Credito_Detalhado[Mês/Ano],OFFSET(AI$4,0,-29)),
SUMIFS(tb_Cartao_Credito_Detalhado[[Mês 31]:[Mês 31]],tb_Cartao_Credito_Detalhado[Mês/Ano],OFFSET(AI$4,0,-30)),
SUMIFS(tb_Cartao_Credito_Detalhado[[Mês 32]:[Mês 32]],tb_Cartao_Credito_Detalhado[Mês/Ano],OFFSET(AI$4,0,-31)),
SUMIFS(tb_Cartao_Credito_Detalhado[[Mês 33]:[Mês 33]],tb_Cartao_Credito_Detalhado[Mês/Ano],OFFSET(AI$4,0,-32)),
SUMIFS(tb_Cartao_Credito_Detalhado[[Mês 34]:[Mês 34]],tb_Cartao_Credito_Detalhado[Mês/Ano],OFFSET(AI$4,0,-33)),
SUMIFS(tb_Cartao_Credito_Detalhado[[Mês 35]:[Mês 35]],tb_Cartao_Credito_Detalhado[Mês/Ano],OFFSET(AI$4,0,-34)),
SUMIFS(tb_Cartao_Credito_Detalhado[[Mês 36]:[Mês 36]],tb_Cartao_Credito_Detalhado[Mês/Ano],OFFSET(AI$4,0,-35)),
SUMIFS(tb_Cartao_Credito_Detalhado[[Mês 37]:[Mês 37]],tb_Cartao_Credito_Detalhado[Mês/Ano],OFFSET(AI$4,0,-36)),
SUMIFS(tb_Cartao_Credito_Detalhado[[Mês 38]:[Mês 38]],tb_Cartao_Credito_Detalhado[Mês/Ano],OFFSET(AI$4,0,-37)),
SUMIFS(tb_Cartao_Credito_Detalhado[[Mês 39]:[Mês 39]],tb_Cartao_Credito_Detalhado[Mês/Ano],OFFSET(AI$4,0,-38)),
SUMIFS(tb_Cartao_Credito_Detalhado[[Mês 40]:[Mês 40]],tb_Cartao_Credito_Detalhado[Mês/Ano],OFFSET(AI$4,0,-39)),
SUMIFS(tb_Cartao_Credito_Detalhado[[Mês 41]:[Mês 41]],tb_Cartao_Credito_Detalhado[Mês/Ano],OFFSET(AI$4,0,-40)),
SUMIFS(tb_Cartao_Credito_Detalhado[[Mês 42]:[Mês 42]],tb_Cartao_Credito_Detalhado[Mês/Ano],OFFSET(AI$4,0,-41)),
SUMIFS(tb_Cartao_Credito_Detalhado[[Mês 43]:[Mês 43]],tb_Cartao_Credito_Detalhado[Mês/Ano],OFFSET(AI$4,0,-42)),
SUMIFS(tb_Cartao_Credito_Detalhado[[Mês 44]:[Mês 44]],tb_Cartao_Credito_Detalhado[Mês/Ano],OFFSET(AI$4,0,-43)),
SUMIFS(tb_Cartao_Credito_Detalhado[[Mês 45]:[Mês 45]],tb_Cartao_Credito_Detalhado[Mês/Ano],OFFSET(AI$4,0,-44)),
)</calculatedColumnFormula>
    </tableColumn>
    <tableColumn id="35" name="set-2019" dataDxfId="16">
      <calculatedColumnFormula>SUM(
SUMIFS(tb_Cartao_Credito_Detalhado[[Mês 1]:[Mês 1]],tb_Cartao_Credito_Detalhado[Mês/Ano],AJ$4),
SUMIFS(tb_Cartao_Credito_Detalhado[[Mês 2]:[Mês 2]],tb_Cartao_Credito_Detalhado[Mês/Ano],OFFSET(AJ$4,0,-1)),
SUMIFS(tb_Cartao_Credito_Detalhado[[Mês 3]:[Mês 3]],tb_Cartao_Credito_Detalhado[Mês/Ano],OFFSET(AJ$4,0,-2)),
SUMIFS(tb_Cartao_Credito_Detalhado[[Mês 4]:[Mês 4]],tb_Cartao_Credito_Detalhado[Mês/Ano],OFFSET(AJ$4,0,-3)),
SUMIFS(tb_Cartao_Credito_Detalhado[[Mês 5]:[Mês 5]],tb_Cartao_Credito_Detalhado[Mês/Ano],OFFSET(AJ$4,0,-4)),
SUMIFS(tb_Cartao_Credito_Detalhado[[Mês 6]:[Mês 6]],tb_Cartao_Credito_Detalhado[Mês/Ano],OFFSET(AJ$4,0,-5)),
SUMIFS(tb_Cartao_Credito_Detalhado[[Mês 7]:[Mês 7]],tb_Cartao_Credito_Detalhado[Mês/Ano],OFFSET(AJ$4,0,-6)),
SUMIFS(tb_Cartao_Credito_Detalhado[[Mês 8]:[Mês 8]],tb_Cartao_Credito_Detalhado[Mês/Ano],OFFSET(AJ$4,0,-7)),
SUMIFS(tb_Cartao_Credito_Detalhado[[Mês 9]:[Mês 9]],tb_Cartao_Credito_Detalhado[Mês/Ano],OFFSET(AJ$4,0,-8)),
SUMIFS(tb_Cartao_Credito_Detalhado[[Mês 10]:[Mês 10]],tb_Cartao_Credito_Detalhado[Mês/Ano],OFFSET(AJ$4,0,-9)),
SUMIFS(tb_Cartao_Credito_Detalhado[[Mês 11]:[Mês 11]],tb_Cartao_Credito_Detalhado[Mês/Ano],OFFSET(AJ$4,0,-10)),
SUMIFS(tb_Cartao_Credito_Detalhado[[Mês 12]:[Mês 12]],tb_Cartao_Credito_Detalhado[Mês/Ano],OFFSET(AJ$4,0,-11)),
SUMIFS(tb_Cartao_Credito_Detalhado[[Mês 13]:[Mês 13]],tb_Cartao_Credito_Detalhado[Mês/Ano],OFFSET(AJ$4,0,-12)),
SUMIFS(tb_Cartao_Credito_Detalhado[[Mês 14]:[Mês 14]],tb_Cartao_Credito_Detalhado[Mês/Ano],OFFSET(AJ$4,0,-13)),
SUMIFS(tb_Cartao_Credito_Detalhado[[Mês 15]:[Mês 15]],tb_Cartao_Credito_Detalhado[Mês/Ano],OFFSET(AJ$4,0,-14)),
SUMIFS(tb_Cartao_Credito_Detalhado[[Mês 16]:[Mês 16]],tb_Cartao_Credito_Detalhado[Mês/Ano],OFFSET(AJ$4,0,-15)),
SUMIFS(tb_Cartao_Credito_Detalhado[[Mês 17]:[Mês 17]],tb_Cartao_Credito_Detalhado[Mês/Ano],OFFSET(AJ$4,0,-16)),
SUMIFS(tb_Cartao_Credito_Detalhado[[Mês 18]:[Mês 18]],tb_Cartao_Credito_Detalhado[Mês/Ano],OFFSET(AJ$4,0,-17)),
SUMIFS(tb_Cartao_Credito_Detalhado[[Mês 19]:[Mês 19]],tb_Cartao_Credito_Detalhado[Mês/Ano],OFFSET(AJ$4,0,-18)),
SUMIFS(tb_Cartao_Credito_Detalhado[[Mês 20]:[Mês 20]],tb_Cartao_Credito_Detalhado[Mês/Ano],OFFSET(AJ$4,0,-19)),
SUMIFS(tb_Cartao_Credito_Detalhado[[Mês 21]:[Mês 21]],tb_Cartao_Credito_Detalhado[Mês/Ano],OFFSET(AJ$4,0,-20)),
SUMIFS(tb_Cartao_Credito_Detalhado[[Mês 22]:[Mês 22]],tb_Cartao_Credito_Detalhado[Mês/Ano],OFFSET(AJ$4,0,-21)),
SUMIFS(tb_Cartao_Credito_Detalhado[[Mês 23]:[Mês 23]],tb_Cartao_Credito_Detalhado[Mês/Ano],OFFSET(AJ$4,0,-22)),
SUMIFS(tb_Cartao_Credito_Detalhado[[Mês 24]:[Mês 24]],tb_Cartao_Credito_Detalhado[Mês/Ano],OFFSET(AJ$4,0,-23)),
SUMIFS(tb_Cartao_Credito_Detalhado[[Mês 25]:[Mês 25]],tb_Cartao_Credito_Detalhado[Mês/Ano],OFFSET(AJ$4,0,-24)),
SUMIFS(tb_Cartao_Credito_Detalhado[[Mês 26]:[Mês 26]],tb_Cartao_Credito_Detalhado[Mês/Ano],OFFSET(AJ$4,0,-25)),
SUMIFS(tb_Cartao_Credito_Detalhado[[Mês 27]:[Mês 27]],tb_Cartao_Credito_Detalhado[Mês/Ano],OFFSET(AJ$4,0,-26)),
SUMIFS(tb_Cartao_Credito_Detalhado[[Mês 28]:[Mês 28]],tb_Cartao_Credito_Detalhado[Mês/Ano],OFFSET(AJ$4,0,-27)),
SUMIFS(tb_Cartao_Credito_Detalhado[[Mês 29]:[Mês 29]],tb_Cartao_Credito_Detalhado[Mês/Ano],OFFSET(AJ$4,0,-28)),
SUMIFS(tb_Cartao_Credito_Detalhado[[Mês 30]:[Mês 30]],tb_Cartao_Credito_Detalhado[Mês/Ano],OFFSET(AJ$4,0,-29)),
SUMIFS(tb_Cartao_Credito_Detalhado[[Mês 31]:[Mês 31]],tb_Cartao_Credito_Detalhado[Mês/Ano],OFFSET(AJ$4,0,-30)),
SUMIFS(tb_Cartao_Credito_Detalhado[[Mês 32]:[Mês 32]],tb_Cartao_Credito_Detalhado[Mês/Ano],OFFSET(AJ$4,0,-31)),
SUMIFS(tb_Cartao_Credito_Detalhado[[Mês 33]:[Mês 33]],tb_Cartao_Credito_Detalhado[Mês/Ano],OFFSET(AJ$4,0,-32)),
SUMIFS(tb_Cartao_Credito_Detalhado[[Mês 34]:[Mês 34]],tb_Cartao_Credito_Detalhado[Mês/Ano],OFFSET(AJ$4,0,-33)),
SUMIFS(tb_Cartao_Credito_Detalhado[[Mês 35]:[Mês 35]],tb_Cartao_Credito_Detalhado[Mês/Ano],OFFSET(AJ$4,0,-34)),
SUMIFS(tb_Cartao_Credito_Detalhado[[Mês 36]:[Mês 36]],tb_Cartao_Credito_Detalhado[Mês/Ano],OFFSET(AJ$4,0,-35)),
SUMIFS(tb_Cartao_Credito_Detalhado[[Mês 37]:[Mês 37]],tb_Cartao_Credito_Detalhado[Mês/Ano],OFFSET(AJ$4,0,-36)),
SUMIFS(tb_Cartao_Credito_Detalhado[[Mês 38]:[Mês 38]],tb_Cartao_Credito_Detalhado[Mês/Ano],OFFSET(AJ$4,0,-37)),
SUMIFS(tb_Cartao_Credito_Detalhado[[Mês 39]:[Mês 39]],tb_Cartao_Credito_Detalhado[Mês/Ano],OFFSET(AJ$4,0,-38)),
SUMIFS(tb_Cartao_Credito_Detalhado[[Mês 40]:[Mês 40]],tb_Cartao_Credito_Detalhado[Mês/Ano],OFFSET(AJ$4,0,-39)),
SUMIFS(tb_Cartao_Credito_Detalhado[[Mês 41]:[Mês 41]],tb_Cartao_Credito_Detalhado[Mês/Ano],OFFSET(AJ$4,0,-40)),
SUMIFS(tb_Cartao_Credito_Detalhado[[Mês 42]:[Mês 42]],tb_Cartao_Credito_Detalhado[Mês/Ano],OFFSET(AJ$4,0,-41)),
SUMIFS(tb_Cartao_Credito_Detalhado[[Mês 43]:[Mês 43]],tb_Cartao_Credito_Detalhado[Mês/Ano],OFFSET(AJ$4,0,-42)),
SUMIFS(tb_Cartao_Credito_Detalhado[[Mês 44]:[Mês 44]],tb_Cartao_Credito_Detalhado[Mês/Ano],OFFSET(AJ$4,0,-43)),
SUMIFS(tb_Cartao_Credito_Detalhado[[Mês 45]:[Mês 45]],tb_Cartao_Credito_Detalhado[Mês/Ano],OFFSET(AJ$4,0,-44)),
)</calculatedColumnFormula>
    </tableColumn>
    <tableColumn id="36" name="out-2019" dataDxfId="15">
      <calculatedColumnFormula>SUM(
SUMIFS(tb_Cartao_Credito_Detalhado[[Mês 1]:[Mês 1]],tb_Cartao_Credito_Detalhado[Mês/Ano],AK$4),
SUMIFS(tb_Cartao_Credito_Detalhado[[Mês 2]:[Mês 2]],tb_Cartao_Credito_Detalhado[Mês/Ano],OFFSET(AK$4,0,-1)),
SUMIFS(tb_Cartao_Credito_Detalhado[[Mês 3]:[Mês 3]],tb_Cartao_Credito_Detalhado[Mês/Ano],OFFSET(AK$4,0,-2)),
SUMIFS(tb_Cartao_Credito_Detalhado[[Mês 4]:[Mês 4]],tb_Cartao_Credito_Detalhado[Mês/Ano],OFFSET(AK$4,0,-3)),
SUMIFS(tb_Cartao_Credito_Detalhado[[Mês 5]:[Mês 5]],tb_Cartao_Credito_Detalhado[Mês/Ano],OFFSET(AK$4,0,-4)),
SUMIFS(tb_Cartao_Credito_Detalhado[[Mês 6]:[Mês 6]],tb_Cartao_Credito_Detalhado[Mês/Ano],OFFSET(AK$4,0,-5)),
SUMIFS(tb_Cartao_Credito_Detalhado[[Mês 7]:[Mês 7]],tb_Cartao_Credito_Detalhado[Mês/Ano],OFFSET(AK$4,0,-6)),
SUMIFS(tb_Cartao_Credito_Detalhado[[Mês 8]:[Mês 8]],tb_Cartao_Credito_Detalhado[Mês/Ano],OFFSET(AK$4,0,-7)),
SUMIFS(tb_Cartao_Credito_Detalhado[[Mês 9]:[Mês 9]],tb_Cartao_Credito_Detalhado[Mês/Ano],OFFSET(AK$4,0,-8)),
SUMIFS(tb_Cartao_Credito_Detalhado[[Mês 10]:[Mês 10]],tb_Cartao_Credito_Detalhado[Mês/Ano],OFFSET(AK$4,0,-9)),
SUMIFS(tb_Cartao_Credito_Detalhado[[Mês 11]:[Mês 11]],tb_Cartao_Credito_Detalhado[Mês/Ano],OFFSET(AK$4,0,-10)),
SUMIFS(tb_Cartao_Credito_Detalhado[[Mês 12]:[Mês 12]],tb_Cartao_Credito_Detalhado[Mês/Ano],OFFSET(AK$4,0,-11)),
SUMIFS(tb_Cartao_Credito_Detalhado[[Mês 13]:[Mês 13]],tb_Cartao_Credito_Detalhado[Mês/Ano],OFFSET(AK$4,0,-12)),
SUMIFS(tb_Cartao_Credito_Detalhado[[Mês 14]:[Mês 14]],tb_Cartao_Credito_Detalhado[Mês/Ano],OFFSET(AK$4,0,-13)),
SUMIFS(tb_Cartao_Credito_Detalhado[[Mês 15]:[Mês 15]],tb_Cartao_Credito_Detalhado[Mês/Ano],OFFSET(AK$4,0,-14)),
SUMIFS(tb_Cartao_Credito_Detalhado[[Mês 16]:[Mês 16]],tb_Cartao_Credito_Detalhado[Mês/Ano],OFFSET(AK$4,0,-15)),
SUMIFS(tb_Cartao_Credito_Detalhado[[Mês 17]:[Mês 17]],tb_Cartao_Credito_Detalhado[Mês/Ano],OFFSET(AK$4,0,-16)),
SUMIFS(tb_Cartao_Credito_Detalhado[[Mês 18]:[Mês 18]],tb_Cartao_Credito_Detalhado[Mês/Ano],OFFSET(AK$4,0,-17)),
SUMIFS(tb_Cartao_Credito_Detalhado[[Mês 19]:[Mês 19]],tb_Cartao_Credito_Detalhado[Mês/Ano],OFFSET(AK$4,0,-18)),
SUMIFS(tb_Cartao_Credito_Detalhado[[Mês 20]:[Mês 20]],tb_Cartao_Credito_Detalhado[Mês/Ano],OFFSET(AK$4,0,-19)),
SUMIFS(tb_Cartao_Credito_Detalhado[[Mês 21]:[Mês 21]],tb_Cartao_Credito_Detalhado[Mês/Ano],OFFSET(AK$4,0,-20)),
SUMIFS(tb_Cartao_Credito_Detalhado[[Mês 22]:[Mês 22]],tb_Cartao_Credito_Detalhado[Mês/Ano],OFFSET(AK$4,0,-21)),
SUMIFS(tb_Cartao_Credito_Detalhado[[Mês 23]:[Mês 23]],tb_Cartao_Credito_Detalhado[Mês/Ano],OFFSET(AK$4,0,-22)),
SUMIFS(tb_Cartao_Credito_Detalhado[[Mês 24]:[Mês 24]],tb_Cartao_Credito_Detalhado[Mês/Ano],OFFSET(AK$4,0,-23)),
SUMIFS(tb_Cartao_Credito_Detalhado[[Mês 25]:[Mês 25]],tb_Cartao_Credito_Detalhado[Mês/Ano],OFFSET(AK$4,0,-24)),
SUMIFS(tb_Cartao_Credito_Detalhado[[Mês 26]:[Mês 26]],tb_Cartao_Credito_Detalhado[Mês/Ano],OFFSET(AK$4,0,-25)),
SUMIFS(tb_Cartao_Credito_Detalhado[[Mês 27]:[Mês 27]],tb_Cartao_Credito_Detalhado[Mês/Ano],OFFSET(AK$4,0,-26)),
SUMIFS(tb_Cartao_Credito_Detalhado[[Mês 28]:[Mês 28]],tb_Cartao_Credito_Detalhado[Mês/Ano],OFFSET(AK$4,0,-27)),
SUMIFS(tb_Cartao_Credito_Detalhado[[Mês 29]:[Mês 29]],tb_Cartao_Credito_Detalhado[Mês/Ano],OFFSET(AK$4,0,-28)),
SUMIFS(tb_Cartao_Credito_Detalhado[[Mês 30]:[Mês 30]],tb_Cartao_Credito_Detalhado[Mês/Ano],OFFSET(AK$4,0,-29)),
SUMIFS(tb_Cartao_Credito_Detalhado[[Mês 31]:[Mês 31]],tb_Cartao_Credito_Detalhado[Mês/Ano],OFFSET(AK$4,0,-30)),
SUMIFS(tb_Cartao_Credito_Detalhado[[Mês 32]:[Mês 32]],tb_Cartao_Credito_Detalhado[Mês/Ano],OFFSET(AK$4,0,-31)),
SUMIFS(tb_Cartao_Credito_Detalhado[[Mês 33]:[Mês 33]],tb_Cartao_Credito_Detalhado[Mês/Ano],OFFSET(AK$4,0,-32)),
SUMIFS(tb_Cartao_Credito_Detalhado[[Mês 34]:[Mês 34]],tb_Cartao_Credito_Detalhado[Mês/Ano],OFFSET(AK$4,0,-33)),
SUMIFS(tb_Cartao_Credito_Detalhado[[Mês 35]:[Mês 35]],tb_Cartao_Credito_Detalhado[Mês/Ano],OFFSET(AK$4,0,-34)),
SUMIFS(tb_Cartao_Credito_Detalhado[[Mês 36]:[Mês 36]],tb_Cartao_Credito_Detalhado[Mês/Ano],OFFSET(AK$4,0,-35)),
SUMIFS(tb_Cartao_Credito_Detalhado[[Mês 37]:[Mês 37]],tb_Cartao_Credito_Detalhado[Mês/Ano],OFFSET(AK$4,0,-36)),
SUMIFS(tb_Cartao_Credito_Detalhado[[Mês 38]:[Mês 38]],tb_Cartao_Credito_Detalhado[Mês/Ano],OFFSET(AK$4,0,-37)),
SUMIFS(tb_Cartao_Credito_Detalhado[[Mês 39]:[Mês 39]],tb_Cartao_Credito_Detalhado[Mês/Ano],OFFSET(AK$4,0,-38)),
SUMIFS(tb_Cartao_Credito_Detalhado[[Mês 40]:[Mês 40]],tb_Cartao_Credito_Detalhado[Mês/Ano],OFFSET(AK$4,0,-39)),
SUMIFS(tb_Cartao_Credito_Detalhado[[Mês 41]:[Mês 41]],tb_Cartao_Credito_Detalhado[Mês/Ano],OFFSET(AK$4,0,-40)),
SUMIFS(tb_Cartao_Credito_Detalhado[[Mês 42]:[Mês 42]],tb_Cartao_Credito_Detalhado[Mês/Ano],OFFSET(AK$4,0,-41)),
SUMIFS(tb_Cartao_Credito_Detalhado[[Mês 43]:[Mês 43]],tb_Cartao_Credito_Detalhado[Mês/Ano],OFFSET(AK$4,0,-42)),
SUMIFS(tb_Cartao_Credito_Detalhado[[Mês 44]:[Mês 44]],tb_Cartao_Credito_Detalhado[Mês/Ano],OFFSET(AK$4,0,-43)),
SUMIFS(tb_Cartao_Credito_Detalhado[[Mês 45]:[Mês 45]],tb_Cartao_Credito_Detalhado[Mês/Ano],OFFSET(AK$4,0,-44)),
)</calculatedColumnFormula>
    </tableColumn>
    <tableColumn id="37" name="nov-2019" dataDxfId="14">
      <calculatedColumnFormula>SUM(
SUMIFS(tb_Cartao_Credito_Detalhado[[Mês 1]:[Mês 1]],tb_Cartao_Credito_Detalhado[Mês/Ano],AL$4),
SUMIFS(tb_Cartao_Credito_Detalhado[[Mês 2]:[Mês 2]],tb_Cartao_Credito_Detalhado[Mês/Ano],OFFSET(AL$4,0,-1)),
SUMIFS(tb_Cartao_Credito_Detalhado[[Mês 3]:[Mês 3]],tb_Cartao_Credito_Detalhado[Mês/Ano],OFFSET(AL$4,0,-2)),
SUMIFS(tb_Cartao_Credito_Detalhado[[Mês 4]:[Mês 4]],tb_Cartao_Credito_Detalhado[Mês/Ano],OFFSET(AL$4,0,-3)),
SUMIFS(tb_Cartao_Credito_Detalhado[[Mês 5]:[Mês 5]],tb_Cartao_Credito_Detalhado[Mês/Ano],OFFSET(AL$4,0,-4)),
SUMIFS(tb_Cartao_Credito_Detalhado[[Mês 6]:[Mês 6]],tb_Cartao_Credito_Detalhado[Mês/Ano],OFFSET(AL$4,0,-5)),
SUMIFS(tb_Cartao_Credito_Detalhado[[Mês 7]:[Mês 7]],tb_Cartao_Credito_Detalhado[Mês/Ano],OFFSET(AL$4,0,-6)),
SUMIFS(tb_Cartao_Credito_Detalhado[[Mês 8]:[Mês 8]],tb_Cartao_Credito_Detalhado[Mês/Ano],OFFSET(AL$4,0,-7)),
SUMIFS(tb_Cartao_Credito_Detalhado[[Mês 9]:[Mês 9]],tb_Cartao_Credito_Detalhado[Mês/Ano],OFFSET(AL$4,0,-8)),
SUMIFS(tb_Cartao_Credito_Detalhado[[Mês 10]:[Mês 10]],tb_Cartao_Credito_Detalhado[Mês/Ano],OFFSET(AL$4,0,-9)),
SUMIFS(tb_Cartao_Credito_Detalhado[[Mês 11]:[Mês 11]],tb_Cartao_Credito_Detalhado[Mês/Ano],OFFSET(AL$4,0,-10)),
SUMIFS(tb_Cartao_Credito_Detalhado[[Mês 12]:[Mês 12]],tb_Cartao_Credito_Detalhado[Mês/Ano],OFFSET(AL$4,0,-11)),
SUMIFS(tb_Cartao_Credito_Detalhado[[Mês 13]:[Mês 13]],tb_Cartao_Credito_Detalhado[Mês/Ano],OFFSET(AL$4,0,-12)),
SUMIFS(tb_Cartao_Credito_Detalhado[[Mês 14]:[Mês 14]],tb_Cartao_Credito_Detalhado[Mês/Ano],OFFSET(AL$4,0,-13)),
SUMIFS(tb_Cartao_Credito_Detalhado[[Mês 15]:[Mês 15]],tb_Cartao_Credito_Detalhado[Mês/Ano],OFFSET(AL$4,0,-14)),
SUMIFS(tb_Cartao_Credito_Detalhado[[Mês 16]:[Mês 16]],tb_Cartao_Credito_Detalhado[Mês/Ano],OFFSET(AL$4,0,-15)),
SUMIFS(tb_Cartao_Credito_Detalhado[[Mês 17]:[Mês 17]],tb_Cartao_Credito_Detalhado[Mês/Ano],OFFSET(AL$4,0,-16)),
SUMIFS(tb_Cartao_Credito_Detalhado[[Mês 18]:[Mês 18]],tb_Cartao_Credito_Detalhado[Mês/Ano],OFFSET(AL$4,0,-17)),
SUMIFS(tb_Cartao_Credito_Detalhado[[Mês 19]:[Mês 19]],tb_Cartao_Credito_Detalhado[Mês/Ano],OFFSET(AL$4,0,-18)),
SUMIFS(tb_Cartao_Credito_Detalhado[[Mês 20]:[Mês 20]],tb_Cartao_Credito_Detalhado[Mês/Ano],OFFSET(AL$4,0,-19)),
SUMIFS(tb_Cartao_Credito_Detalhado[[Mês 21]:[Mês 21]],tb_Cartao_Credito_Detalhado[Mês/Ano],OFFSET(AL$4,0,-20)),
SUMIFS(tb_Cartao_Credito_Detalhado[[Mês 22]:[Mês 22]],tb_Cartao_Credito_Detalhado[Mês/Ano],OFFSET(AL$4,0,-21)),
SUMIFS(tb_Cartao_Credito_Detalhado[[Mês 23]:[Mês 23]],tb_Cartao_Credito_Detalhado[Mês/Ano],OFFSET(AL$4,0,-22)),
SUMIFS(tb_Cartao_Credito_Detalhado[[Mês 24]:[Mês 24]],tb_Cartao_Credito_Detalhado[Mês/Ano],OFFSET(AL$4,0,-23)),
SUMIFS(tb_Cartao_Credito_Detalhado[[Mês 25]:[Mês 25]],tb_Cartao_Credito_Detalhado[Mês/Ano],OFFSET(AL$4,0,-24)),
SUMIFS(tb_Cartao_Credito_Detalhado[[Mês 26]:[Mês 26]],tb_Cartao_Credito_Detalhado[Mês/Ano],OFFSET(AL$4,0,-25)),
SUMIFS(tb_Cartao_Credito_Detalhado[[Mês 27]:[Mês 27]],tb_Cartao_Credito_Detalhado[Mês/Ano],OFFSET(AL$4,0,-26)),
SUMIFS(tb_Cartao_Credito_Detalhado[[Mês 28]:[Mês 28]],tb_Cartao_Credito_Detalhado[Mês/Ano],OFFSET(AL$4,0,-27)),
SUMIFS(tb_Cartao_Credito_Detalhado[[Mês 29]:[Mês 29]],tb_Cartao_Credito_Detalhado[Mês/Ano],OFFSET(AL$4,0,-28)),
SUMIFS(tb_Cartao_Credito_Detalhado[[Mês 30]:[Mês 30]],tb_Cartao_Credito_Detalhado[Mês/Ano],OFFSET(AL$4,0,-29)),
SUMIFS(tb_Cartao_Credito_Detalhado[[Mês 31]:[Mês 31]],tb_Cartao_Credito_Detalhado[Mês/Ano],OFFSET(AL$4,0,-30)),
SUMIFS(tb_Cartao_Credito_Detalhado[[Mês 32]:[Mês 32]],tb_Cartao_Credito_Detalhado[Mês/Ano],OFFSET(AL$4,0,-31)),
SUMIFS(tb_Cartao_Credito_Detalhado[[Mês 33]:[Mês 33]],tb_Cartao_Credito_Detalhado[Mês/Ano],OFFSET(AL$4,0,-32)),
SUMIFS(tb_Cartao_Credito_Detalhado[[Mês 34]:[Mês 34]],tb_Cartao_Credito_Detalhado[Mês/Ano],OFFSET(AL$4,0,-33)),
SUMIFS(tb_Cartao_Credito_Detalhado[[Mês 35]:[Mês 35]],tb_Cartao_Credito_Detalhado[Mês/Ano],OFFSET(AL$4,0,-34)),
SUMIFS(tb_Cartao_Credito_Detalhado[[Mês 36]:[Mês 36]],tb_Cartao_Credito_Detalhado[Mês/Ano],OFFSET(AL$4,0,-35)),
SUMIFS(tb_Cartao_Credito_Detalhado[[Mês 37]:[Mês 37]],tb_Cartao_Credito_Detalhado[Mês/Ano],OFFSET(AL$4,0,-36)),
SUMIFS(tb_Cartao_Credito_Detalhado[[Mês 38]:[Mês 38]],tb_Cartao_Credito_Detalhado[Mês/Ano],OFFSET(AL$4,0,-37)),
SUMIFS(tb_Cartao_Credito_Detalhado[[Mês 39]:[Mês 39]],tb_Cartao_Credito_Detalhado[Mês/Ano],OFFSET(AL$4,0,-38)),
SUMIFS(tb_Cartao_Credito_Detalhado[[Mês 40]:[Mês 40]],tb_Cartao_Credito_Detalhado[Mês/Ano],OFFSET(AL$4,0,-39)),
SUMIFS(tb_Cartao_Credito_Detalhado[[Mês 41]:[Mês 41]],tb_Cartao_Credito_Detalhado[Mês/Ano],OFFSET(AL$4,0,-40)),
SUMIFS(tb_Cartao_Credito_Detalhado[[Mês 42]:[Mês 42]],tb_Cartao_Credito_Detalhado[Mês/Ano],OFFSET(AL$4,0,-41)),
SUMIFS(tb_Cartao_Credito_Detalhado[[Mês 43]:[Mês 43]],tb_Cartao_Credito_Detalhado[Mês/Ano],OFFSET(AL$4,0,-42)),
SUMIFS(tb_Cartao_Credito_Detalhado[[Mês 44]:[Mês 44]],tb_Cartao_Credito_Detalhado[Mês/Ano],OFFSET(AL$4,0,-43)),
SUMIFS(tb_Cartao_Credito_Detalhado[[Mês 45]:[Mês 45]],tb_Cartao_Credito_Detalhado[Mês/Ano],OFFSET(AL$4,0,-44)),
)</calculatedColumnFormula>
    </tableColumn>
    <tableColumn id="38" name="dez-2019" dataDxfId="13">
      <calculatedColumnFormula>SUM(
SUMIFS(tb_Cartao_Credito_Detalhado[[Mês 1]:[Mês 1]],tb_Cartao_Credito_Detalhado[Mês/Ano],AM$4),
SUMIFS(tb_Cartao_Credito_Detalhado[[Mês 2]:[Mês 2]],tb_Cartao_Credito_Detalhado[Mês/Ano],OFFSET(AM$4,0,-1)),
SUMIFS(tb_Cartao_Credito_Detalhado[[Mês 3]:[Mês 3]],tb_Cartao_Credito_Detalhado[Mês/Ano],OFFSET(AM$4,0,-2)),
SUMIFS(tb_Cartao_Credito_Detalhado[[Mês 4]:[Mês 4]],tb_Cartao_Credito_Detalhado[Mês/Ano],OFFSET(AM$4,0,-3)),
SUMIFS(tb_Cartao_Credito_Detalhado[[Mês 5]:[Mês 5]],tb_Cartao_Credito_Detalhado[Mês/Ano],OFFSET(AM$4,0,-4)),
SUMIFS(tb_Cartao_Credito_Detalhado[[Mês 6]:[Mês 6]],tb_Cartao_Credito_Detalhado[Mês/Ano],OFFSET(AM$4,0,-5)),
SUMIFS(tb_Cartao_Credito_Detalhado[[Mês 7]:[Mês 7]],tb_Cartao_Credito_Detalhado[Mês/Ano],OFFSET(AM$4,0,-6)),
SUMIFS(tb_Cartao_Credito_Detalhado[[Mês 8]:[Mês 8]],tb_Cartao_Credito_Detalhado[Mês/Ano],OFFSET(AM$4,0,-7)),
SUMIFS(tb_Cartao_Credito_Detalhado[[Mês 9]:[Mês 9]],tb_Cartao_Credito_Detalhado[Mês/Ano],OFFSET(AM$4,0,-8)),
SUMIFS(tb_Cartao_Credito_Detalhado[[Mês 10]:[Mês 10]],tb_Cartao_Credito_Detalhado[Mês/Ano],OFFSET(AM$4,0,-9)),
SUMIFS(tb_Cartao_Credito_Detalhado[[Mês 11]:[Mês 11]],tb_Cartao_Credito_Detalhado[Mês/Ano],OFFSET(AM$4,0,-10)),
SUMIFS(tb_Cartao_Credito_Detalhado[[Mês 12]:[Mês 12]],tb_Cartao_Credito_Detalhado[Mês/Ano],OFFSET(AM$4,0,-11)),
SUMIFS(tb_Cartao_Credito_Detalhado[[Mês 13]:[Mês 13]],tb_Cartao_Credito_Detalhado[Mês/Ano],OFFSET(AM$4,0,-12)),
SUMIFS(tb_Cartao_Credito_Detalhado[[Mês 14]:[Mês 14]],tb_Cartao_Credito_Detalhado[Mês/Ano],OFFSET(AM$4,0,-13)),
SUMIFS(tb_Cartao_Credito_Detalhado[[Mês 15]:[Mês 15]],tb_Cartao_Credito_Detalhado[Mês/Ano],OFFSET(AM$4,0,-14)),
SUMIFS(tb_Cartao_Credito_Detalhado[[Mês 16]:[Mês 16]],tb_Cartao_Credito_Detalhado[Mês/Ano],OFFSET(AM$4,0,-15)),
SUMIFS(tb_Cartao_Credito_Detalhado[[Mês 17]:[Mês 17]],tb_Cartao_Credito_Detalhado[Mês/Ano],OFFSET(AM$4,0,-16)),
SUMIFS(tb_Cartao_Credito_Detalhado[[Mês 18]:[Mês 18]],tb_Cartao_Credito_Detalhado[Mês/Ano],OFFSET(AM$4,0,-17)),
SUMIFS(tb_Cartao_Credito_Detalhado[[Mês 19]:[Mês 19]],tb_Cartao_Credito_Detalhado[Mês/Ano],OFFSET(AM$4,0,-18)),
SUMIFS(tb_Cartao_Credito_Detalhado[[Mês 20]:[Mês 20]],tb_Cartao_Credito_Detalhado[Mês/Ano],OFFSET(AM$4,0,-19)),
SUMIFS(tb_Cartao_Credito_Detalhado[[Mês 21]:[Mês 21]],tb_Cartao_Credito_Detalhado[Mês/Ano],OFFSET(AM$4,0,-20)),
SUMIFS(tb_Cartao_Credito_Detalhado[[Mês 22]:[Mês 22]],tb_Cartao_Credito_Detalhado[Mês/Ano],OFFSET(AM$4,0,-21)),
SUMIFS(tb_Cartao_Credito_Detalhado[[Mês 23]:[Mês 23]],tb_Cartao_Credito_Detalhado[Mês/Ano],OFFSET(AM$4,0,-22)),
SUMIFS(tb_Cartao_Credito_Detalhado[[Mês 24]:[Mês 24]],tb_Cartao_Credito_Detalhado[Mês/Ano],OFFSET(AM$4,0,-23)),
SUMIFS(tb_Cartao_Credito_Detalhado[[Mês 25]:[Mês 25]],tb_Cartao_Credito_Detalhado[Mês/Ano],OFFSET(AM$4,0,-24)),
SUMIFS(tb_Cartao_Credito_Detalhado[[Mês 26]:[Mês 26]],tb_Cartao_Credito_Detalhado[Mês/Ano],OFFSET(AM$4,0,-25)),
SUMIFS(tb_Cartao_Credito_Detalhado[[Mês 27]:[Mês 27]],tb_Cartao_Credito_Detalhado[Mês/Ano],OFFSET(AM$4,0,-26)),
SUMIFS(tb_Cartao_Credito_Detalhado[[Mês 28]:[Mês 28]],tb_Cartao_Credito_Detalhado[Mês/Ano],OFFSET(AM$4,0,-27)),
SUMIFS(tb_Cartao_Credito_Detalhado[[Mês 29]:[Mês 29]],tb_Cartao_Credito_Detalhado[Mês/Ano],OFFSET(AM$4,0,-28)),
SUMIFS(tb_Cartao_Credito_Detalhado[[Mês 30]:[Mês 30]],tb_Cartao_Credito_Detalhado[Mês/Ano],OFFSET(AM$4,0,-29)),
SUMIFS(tb_Cartao_Credito_Detalhado[[Mês 31]:[Mês 31]],tb_Cartao_Credito_Detalhado[Mês/Ano],OFFSET(AM$4,0,-30)),
SUMIFS(tb_Cartao_Credito_Detalhado[[Mês 32]:[Mês 32]],tb_Cartao_Credito_Detalhado[Mês/Ano],OFFSET(AM$4,0,-31)),
SUMIFS(tb_Cartao_Credito_Detalhado[[Mês 33]:[Mês 33]],tb_Cartao_Credito_Detalhado[Mês/Ano],OFFSET(AM$4,0,-32)),
SUMIFS(tb_Cartao_Credito_Detalhado[[Mês 34]:[Mês 34]],tb_Cartao_Credito_Detalhado[Mês/Ano],OFFSET(AM$4,0,-33)),
SUMIFS(tb_Cartao_Credito_Detalhado[[Mês 35]:[Mês 35]],tb_Cartao_Credito_Detalhado[Mês/Ano],OFFSET(AM$4,0,-34)),
SUMIFS(tb_Cartao_Credito_Detalhado[[Mês 36]:[Mês 36]],tb_Cartao_Credito_Detalhado[Mês/Ano],OFFSET(AM$4,0,-35)),
SUMIFS(tb_Cartao_Credito_Detalhado[[Mês 37]:[Mês 37]],tb_Cartao_Credito_Detalhado[Mês/Ano],OFFSET(AM$4,0,-36)),
SUMIFS(tb_Cartao_Credito_Detalhado[[Mês 38]:[Mês 38]],tb_Cartao_Credito_Detalhado[Mês/Ano],OFFSET(AM$4,0,-37)),
SUMIFS(tb_Cartao_Credito_Detalhado[[Mês 39]:[Mês 39]],tb_Cartao_Credito_Detalhado[Mês/Ano],OFFSET(AM$4,0,-38)),
SUMIFS(tb_Cartao_Credito_Detalhado[[Mês 40]:[Mês 40]],tb_Cartao_Credito_Detalhado[Mês/Ano],OFFSET(AM$4,0,-39)),
SUMIFS(tb_Cartao_Credito_Detalhado[[Mês 41]:[Mês 41]],tb_Cartao_Credito_Detalhado[Mês/Ano],OFFSET(AM$4,0,-40)),
SUMIFS(tb_Cartao_Credito_Detalhado[[Mês 42]:[Mês 42]],tb_Cartao_Credito_Detalhado[Mês/Ano],OFFSET(AM$4,0,-41)),
SUMIFS(tb_Cartao_Credito_Detalhado[[Mês 43]:[Mês 43]],tb_Cartao_Credito_Detalhado[Mês/Ano],OFFSET(AM$4,0,-42)),
SUMIFS(tb_Cartao_Credito_Detalhado[[Mês 44]:[Mês 44]],tb_Cartao_Credito_Detalhado[Mês/Ano],OFFSET(AM$4,0,-43)),
SUMIFS(tb_Cartao_Credito_Detalhado[[Mês 45]:[Mês 45]],tb_Cartao_Credito_Detalhado[Mês/Ano],OFFSET(AM$4,0,-44)),
)</calculatedColumnFormula>
    </tableColumn>
    <tableColumn id="39" name="jan-2020" dataDxfId="12">
      <calculatedColumnFormula>SUM(
SUMIFS(tb_Cartao_Credito_Detalhado[[Mês 1]:[Mês 1]],tb_Cartao_Credito_Detalhado[Mês/Ano],AN$4),
SUMIFS(tb_Cartao_Credito_Detalhado[[Mês 2]:[Mês 2]],tb_Cartao_Credito_Detalhado[Mês/Ano],OFFSET(AN$4,0,-1)),
SUMIFS(tb_Cartao_Credito_Detalhado[[Mês 3]:[Mês 3]],tb_Cartao_Credito_Detalhado[Mês/Ano],OFFSET(AN$4,0,-2)),
SUMIFS(tb_Cartao_Credito_Detalhado[[Mês 4]:[Mês 4]],tb_Cartao_Credito_Detalhado[Mês/Ano],OFFSET(AN$4,0,-3)),
SUMIFS(tb_Cartao_Credito_Detalhado[[Mês 5]:[Mês 5]],tb_Cartao_Credito_Detalhado[Mês/Ano],OFFSET(AN$4,0,-4)),
SUMIFS(tb_Cartao_Credito_Detalhado[[Mês 6]:[Mês 6]],tb_Cartao_Credito_Detalhado[Mês/Ano],OFFSET(AN$4,0,-5)),
SUMIFS(tb_Cartao_Credito_Detalhado[[Mês 7]:[Mês 7]],tb_Cartao_Credito_Detalhado[Mês/Ano],OFFSET(AN$4,0,-6)),
SUMIFS(tb_Cartao_Credito_Detalhado[[Mês 8]:[Mês 8]],tb_Cartao_Credito_Detalhado[Mês/Ano],OFFSET(AN$4,0,-7)),
SUMIFS(tb_Cartao_Credito_Detalhado[[Mês 9]:[Mês 9]],tb_Cartao_Credito_Detalhado[Mês/Ano],OFFSET(AN$4,0,-8)),
SUMIFS(tb_Cartao_Credito_Detalhado[[Mês 10]:[Mês 10]],tb_Cartao_Credito_Detalhado[Mês/Ano],OFFSET(AN$4,0,-9)),
SUMIFS(tb_Cartao_Credito_Detalhado[[Mês 11]:[Mês 11]],tb_Cartao_Credito_Detalhado[Mês/Ano],OFFSET(AN$4,0,-10)),
SUMIFS(tb_Cartao_Credito_Detalhado[[Mês 12]:[Mês 12]],tb_Cartao_Credito_Detalhado[Mês/Ano],OFFSET(AN$4,0,-11)),
SUMIFS(tb_Cartao_Credito_Detalhado[[Mês 13]:[Mês 13]],tb_Cartao_Credito_Detalhado[Mês/Ano],OFFSET(AN$4,0,-12)),
SUMIFS(tb_Cartao_Credito_Detalhado[[Mês 14]:[Mês 14]],tb_Cartao_Credito_Detalhado[Mês/Ano],OFFSET(AN$4,0,-13)),
SUMIFS(tb_Cartao_Credito_Detalhado[[Mês 15]:[Mês 15]],tb_Cartao_Credito_Detalhado[Mês/Ano],OFFSET(AN$4,0,-14)),
SUMIFS(tb_Cartao_Credito_Detalhado[[Mês 16]:[Mês 16]],tb_Cartao_Credito_Detalhado[Mês/Ano],OFFSET(AN$4,0,-15)),
SUMIFS(tb_Cartao_Credito_Detalhado[[Mês 17]:[Mês 17]],tb_Cartao_Credito_Detalhado[Mês/Ano],OFFSET(AN$4,0,-16)),
SUMIFS(tb_Cartao_Credito_Detalhado[[Mês 18]:[Mês 18]],tb_Cartao_Credito_Detalhado[Mês/Ano],OFFSET(AN$4,0,-17)),
SUMIFS(tb_Cartao_Credito_Detalhado[[Mês 19]:[Mês 19]],tb_Cartao_Credito_Detalhado[Mês/Ano],OFFSET(AN$4,0,-18)),
SUMIFS(tb_Cartao_Credito_Detalhado[[Mês 20]:[Mês 20]],tb_Cartao_Credito_Detalhado[Mês/Ano],OFFSET(AN$4,0,-19)),
SUMIFS(tb_Cartao_Credito_Detalhado[[Mês 21]:[Mês 21]],tb_Cartao_Credito_Detalhado[Mês/Ano],OFFSET(AN$4,0,-20)),
SUMIFS(tb_Cartao_Credito_Detalhado[[Mês 22]:[Mês 22]],tb_Cartao_Credito_Detalhado[Mês/Ano],OFFSET(AN$4,0,-21)),
SUMIFS(tb_Cartao_Credito_Detalhado[[Mês 23]:[Mês 23]],tb_Cartao_Credito_Detalhado[Mês/Ano],OFFSET(AN$4,0,-22)),
SUMIFS(tb_Cartao_Credito_Detalhado[[Mês 24]:[Mês 24]],tb_Cartao_Credito_Detalhado[Mês/Ano],OFFSET(AN$4,0,-23)),
SUMIFS(tb_Cartao_Credito_Detalhado[[Mês 25]:[Mês 25]],tb_Cartao_Credito_Detalhado[Mês/Ano],OFFSET(AN$4,0,-24)),
SUMIFS(tb_Cartao_Credito_Detalhado[[Mês 26]:[Mês 26]],tb_Cartao_Credito_Detalhado[Mês/Ano],OFFSET(AN$4,0,-25)),
SUMIFS(tb_Cartao_Credito_Detalhado[[Mês 27]:[Mês 27]],tb_Cartao_Credito_Detalhado[Mês/Ano],OFFSET(AN$4,0,-26)),
SUMIFS(tb_Cartao_Credito_Detalhado[[Mês 28]:[Mês 28]],tb_Cartao_Credito_Detalhado[Mês/Ano],OFFSET(AN$4,0,-27)),
SUMIFS(tb_Cartao_Credito_Detalhado[[Mês 29]:[Mês 29]],tb_Cartao_Credito_Detalhado[Mês/Ano],OFFSET(AN$4,0,-28)),
SUMIFS(tb_Cartao_Credito_Detalhado[[Mês 30]:[Mês 30]],tb_Cartao_Credito_Detalhado[Mês/Ano],OFFSET(AN$4,0,-29)),
SUMIFS(tb_Cartao_Credito_Detalhado[[Mês 31]:[Mês 31]],tb_Cartao_Credito_Detalhado[Mês/Ano],OFFSET(AN$4,0,-30)),
SUMIFS(tb_Cartao_Credito_Detalhado[[Mês 32]:[Mês 32]],tb_Cartao_Credito_Detalhado[Mês/Ano],OFFSET(AN$4,0,-31)),
SUMIFS(tb_Cartao_Credito_Detalhado[[Mês 33]:[Mês 33]],tb_Cartao_Credito_Detalhado[Mês/Ano],OFFSET(AN$4,0,-32)),
SUMIFS(tb_Cartao_Credito_Detalhado[[Mês 34]:[Mês 34]],tb_Cartao_Credito_Detalhado[Mês/Ano],OFFSET(AN$4,0,-33)),
SUMIFS(tb_Cartao_Credito_Detalhado[[Mês 35]:[Mês 35]],tb_Cartao_Credito_Detalhado[Mês/Ano],OFFSET(AN$4,0,-34)),
SUMIFS(tb_Cartao_Credito_Detalhado[[Mês 36]:[Mês 36]],tb_Cartao_Credito_Detalhado[Mês/Ano],OFFSET(AN$4,0,-35)),
SUMIFS(tb_Cartao_Credito_Detalhado[[Mês 37]:[Mês 37]],tb_Cartao_Credito_Detalhado[Mês/Ano],OFFSET(AN$4,0,-36)),
SUMIFS(tb_Cartao_Credito_Detalhado[[Mês 38]:[Mês 38]],tb_Cartao_Credito_Detalhado[Mês/Ano],OFFSET(AN$4,0,-37)),
SUMIFS(tb_Cartao_Credito_Detalhado[[Mês 39]:[Mês 39]],tb_Cartao_Credito_Detalhado[Mês/Ano],OFFSET(AN$4,0,-38)),
SUMIFS(tb_Cartao_Credito_Detalhado[[Mês 40]:[Mês 40]],tb_Cartao_Credito_Detalhado[Mês/Ano],OFFSET(AN$4,0,-39)),
SUMIFS(tb_Cartao_Credito_Detalhado[[Mês 41]:[Mês 41]],tb_Cartao_Credito_Detalhado[Mês/Ano],OFFSET(AN$4,0,-40)),
SUMIFS(tb_Cartao_Credito_Detalhado[[Mês 42]:[Mês 42]],tb_Cartao_Credito_Detalhado[Mês/Ano],OFFSET(AN$4,0,-41)),
SUMIFS(tb_Cartao_Credito_Detalhado[[Mês 43]:[Mês 43]],tb_Cartao_Credito_Detalhado[Mês/Ano],OFFSET(AN$4,0,-42)),
SUMIFS(tb_Cartao_Credito_Detalhado[[Mês 44]:[Mês 44]],tb_Cartao_Credito_Detalhado[Mês/Ano],OFFSET(AN$4,0,-43)),
SUMIFS(tb_Cartao_Credito_Detalhado[[Mês 45]:[Mês 45]],tb_Cartao_Credito_Detalhado[Mês/Ano],OFFSET(AN$4,0,-44)),
)</calculatedColumnFormula>
    </tableColumn>
    <tableColumn id="40" name="fev-2020" dataDxfId="11">
      <calculatedColumnFormula>SUM(
SUMIFS(tb_Cartao_Credito_Detalhado[[Mês 1]:[Mês 1]],tb_Cartao_Credito_Detalhado[Mês/Ano],AO$4),
SUMIFS(tb_Cartao_Credito_Detalhado[[Mês 2]:[Mês 2]],tb_Cartao_Credito_Detalhado[Mês/Ano],OFFSET(AO$4,0,-1)),
SUMIFS(tb_Cartao_Credito_Detalhado[[Mês 3]:[Mês 3]],tb_Cartao_Credito_Detalhado[Mês/Ano],OFFSET(AO$4,0,-2)),
SUMIFS(tb_Cartao_Credito_Detalhado[[Mês 4]:[Mês 4]],tb_Cartao_Credito_Detalhado[Mês/Ano],OFFSET(AO$4,0,-3)),
SUMIFS(tb_Cartao_Credito_Detalhado[[Mês 5]:[Mês 5]],tb_Cartao_Credito_Detalhado[Mês/Ano],OFFSET(AO$4,0,-4)),
SUMIFS(tb_Cartao_Credito_Detalhado[[Mês 6]:[Mês 6]],tb_Cartao_Credito_Detalhado[Mês/Ano],OFFSET(AO$4,0,-5)),
SUMIFS(tb_Cartao_Credito_Detalhado[[Mês 7]:[Mês 7]],tb_Cartao_Credito_Detalhado[Mês/Ano],OFFSET(AO$4,0,-6)),
SUMIFS(tb_Cartao_Credito_Detalhado[[Mês 8]:[Mês 8]],tb_Cartao_Credito_Detalhado[Mês/Ano],OFFSET(AO$4,0,-7)),
SUMIFS(tb_Cartao_Credito_Detalhado[[Mês 9]:[Mês 9]],tb_Cartao_Credito_Detalhado[Mês/Ano],OFFSET(AO$4,0,-8)),
SUMIFS(tb_Cartao_Credito_Detalhado[[Mês 10]:[Mês 10]],tb_Cartao_Credito_Detalhado[Mês/Ano],OFFSET(AO$4,0,-9)),
SUMIFS(tb_Cartao_Credito_Detalhado[[Mês 11]:[Mês 11]],tb_Cartao_Credito_Detalhado[Mês/Ano],OFFSET(AO$4,0,-10)),
SUMIFS(tb_Cartao_Credito_Detalhado[[Mês 12]:[Mês 12]],tb_Cartao_Credito_Detalhado[Mês/Ano],OFFSET(AO$4,0,-11)),
SUMIFS(tb_Cartao_Credito_Detalhado[[Mês 13]:[Mês 13]],tb_Cartao_Credito_Detalhado[Mês/Ano],OFFSET(AO$4,0,-12)),
SUMIFS(tb_Cartao_Credito_Detalhado[[Mês 14]:[Mês 14]],tb_Cartao_Credito_Detalhado[Mês/Ano],OFFSET(AO$4,0,-13)),
SUMIFS(tb_Cartao_Credito_Detalhado[[Mês 15]:[Mês 15]],tb_Cartao_Credito_Detalhado[Mês/Ano],OFFSET(AO$4,0,-14)),
SUMIFS(tb_Cartao_Credito_Detalhado[[Mês 16]:[Mês 16]],tb_Cartao_Credito_Detalhado[Mês/Ano],OFFSET(AO$4,0,-15)),
SUMIFS(tb_Cartao_Credito_Detalhado[[Mês 17]:[Mês 17]],tb_Cartao_Credito_Detalhado[Mês/Ano],OFFSET(AO$4,0,-16)),
SUMIFS(tb_Cartao_Credito_Detalhado[[Mês 18]:[Mês 18]],tb_Cartao_Credito_Detalhado[Mês/Ano],OFFSET(AO$4,0,-17)),
SUMIFS(tb_Cartao_Credito_Detalhado[[Mês 19]:[Mês 19]],tb_Cartao_Credito_Detalhado[Mês/Ano],OFFSET(AO$4,0,-18)),
SUMIFS(tb_Cartao_Credito_Detalhado[[Mês 20]:[Mês 20]],tb_Cartao_Credito_Detalhado[Mês/Ano],OFFSET(AO$4,0,-19)),
SUMIFS(tb_Cartao_Credito_Detalhado[[Mês 21]:[Mês 21]],tb_Cartao_Credito_Detalhado[Mês/Ano],OFFSET(AO$4,0,-20)),
SUMIFS(tb_Cartao_Credito_Detalhado[[Mês 22]:[Mês 22]],tb_Cartao_Credito_Detalhado[Mês/Ano],OFFSET(AO$4,0,-21)),
SUMIFS(tb_Cartao_Credito_Detalhado[[Mês 23]:[Mês 23]],tb_Cartao_Credito_Detalhado[Mês/Ano],OFFSET(AO$4,0,-22)),
SUMIFS(tb_Cartao_Credito_Detalhado[[Mês 24]:[Mês 24]],tb_Cartao_Credito_Detalhado[Mês/Ano],OFFSET(AO$4,0,-23)),
SUMIFS(tb_Cartao_Credito_Detalhado[[Mês 25]:[Mês 25]],tb_Cartao_Credito_Detalhado[Mês/Ano],OFFSET(AO$4,0,-24)),
SUMIFS(tb_Cartao_Credito_Detalhado[[Mês 26]:[Mês 26]],tb_Cartao_Credito_Detalhado[Mês/Ano],OFFSET(AO$4,0,-25)),
SUMIFS(tb_Cartao_Credito_Detalhado[[Mês 27]:[Mês 27]],tb_Cartao_Credito_Detalhado[Mês/Ano],OFFSET(AO$4,0,-26)),
SUMIFS(tb_Cartao_Credito_Detalhado[[Mês 28]:[Mês 28]],tb_Cartao_Credito_Detalhado[Mês/Ano],OFFSET(AO$4,0,-27)),
SUMIFS(tb_Cartao_Credito_Detalhado[[Mês 29]:[Mês 29]],tb_Cartao_Credito_Detalhado[Mês/Ano],OFFSET(AO$4,0,-28)),
SUMIFS(tb_Cartao_Credito_Detalhado[[Mês 30]:[Mês 30]],tb_Cartao_Credito_Detalhado[Mês/Ano],OFFSET(AO$4,0,-29)),
SUMIFS(tb_Cartao_Credito_Detalhado[[Mês 31]:[Mês 31]],tb_Cartao_Credito_Detalhado[Mês/Ano],OFFSET(AO$4,0,-30)),
SUMIFS(tb_Cartao_Credito_Detalhado[[Mês 32]:[Mês 32]],tb_Cartao_Credito_Detalhado[Mês/Ano],OFFSET(AO$4,0,-31)),
SUMIFS(tb_Cartao_Credito_Detalhado[[Mês 33]:[Mês 33]],tb_Cartao_Credito_Detalhado[Mês/Ano],OFFSET(AO$4,0,-32)),
SUMIFS(tb_Cartao_Credito_Detalhado[[Mês 34]:[Mês 34]],tb_Cartao_Credito_Detalhado[Mês/Ano],OFFSET(AO$4,0,-33)),
SUMIFS(tb_Cartao_Credito_Detalhado[[Mês 35]:[Mês 35]],tb_Cartao_Credito_Detalhado[Mês/Ano],OFFSET(AO$4,0,-34)),
SUMIFS(tb_Cartao_Credito_Detalhado[[Mês 36]:[Mês 36]],tb_Cartao_Credito_Detalhado[Mês/Ano],OFFSET(AO$4,0,-35)),
SUMIFS(tb_Cartao_Credito_Detalhado[[Mês 37]:[Mês 37]],tb_Cartao_Credito_Detalhado[Mês/Ano],OFFSET(AO$4,0,-36)),
SUMIFS(tb_Cartao_Credito_Detalhado[[Mês 38]:[Mês 38]],tb_Cartao_Credito_Detalhado[Mês/Ano],OFFSET(AO$4,0,-37)),
SUMIFS(tb_Cartao_Credito_Detalhado[[Mês 39]:[Mês 39]],tb_Cartao_Credito_Detalhado[Mês/Ano],OFFSET(AO$4,0,-38)),
SUMIFS(tb_Cartao_Credito_Detalhado[[Mês 40]:[Mês 40]],tb_Cartao_Credito_Detalhado[Mês/Ano],OFFSET(AO$4,0,-39)),
SUMIFS(tb_Cartao_Credito_Detalhado[[Mês 41]:[Mês 41]],tb_Cartao_Credito_Detalhado[Mês/Ano],OFFSET(AO$4,0,-40)),
SUMIFS(tb_Cartao_Credito_Detalhado[[Mês 42]:[Mês 42]],tb_Cartao_Credito_Detalhado[Mês/Ano],OFFSET(AO$4,0,-41)),
SUMIFS(tb_Cartao_Credito_Detalhado[[Mês 43]:[Mês 43]],tb_Cartao_Credito_Detalhado[Mês/Ano],OFFSET(AO$4,0,-42)),
SUMIFS(tb_Cartao_Credito_Detalhado[[Mês 44]:[Mês 44]],tb_Cartao_Credito_Detalhado[Mês/Ano],OFFSET(AO$4,0,-43)),
SUMIFS(tb_Cartao_Credito_Detalhado[[Mês 45]:[Mês 45]],tb_Cartao_Credito_Detalhado[Mês/Ano],OFFSET(AO$4,0,-44)),
)</calculatedColumnFormula>
    </tableColumn>
    <tableColumn id="41" name="mar-2020" dataDxfId="10">
      <calculatedColumnFormula>SUM(
SUMIFS(tb_Cartao_Credito_Detalhado[[Mês 1]:[Mês 1]],tb_Cartao_Credito_Detalhado[Mês/Ano],AP$4),
SUMIFS(tb_Cartao_Credito_Detalhado[[Mês 2]:[Mês 2]],tb_Cartao_Credito_Detalhado[Mês/Ano],OFFSET(AP$4,0,-1)),
SUMIFS(tb_Cartao_Credito_Detalhado[[Mês 3]:[Mês 3]],tb_Cartao_Credito_Detalhado[Mês/Ano],OFFSET(AP$4,0,-2)),
SUMIFS(tb_Cartao_Credito_Detalhado[[Mês 4]:[Mês 4]],tb_Cartao_Credito_Detalhado[Mês/Ano],OFFSET(AP$4,0,-3)),
SUMIFS(tb_Cartao_Credito_Detalhado[[Mês 5]:[Mês 5]],tb_Cartao_Credito_Detalhado[Mês/Ano],OFFSET(AP$4,0,-4)),
SUMIFS(tb_Cartao_Credito_Detalhado[[Mês 6]:[Mês 6]],tb_Cartao_Credito_Detalhado[Mês/Ano],OFFSET(AP$4,0,-5)),
SUMIFS(tb_Cartao_Credito_Detalhado[[Mês 7]:[Mês 7]],tb_Cartao_Credito_Detalhado[Mês/Ano],OFFSET(AP$4,0,-6)),
SUMIFS(tb_Cartao_Credito_Detalhado[[Mês 8]:[Mês 8]],tb_Cartao_Credito_Detalhado[Mês/Ano],OFFSET(AP$4,0,-7)),
SUMIFS(tb_Cartao_Credito_Detalhado[[Mês 9]:[Mês 9]],tb_Cartao_Credito_Detalhado[Mês/Ano],OFFSET(AP$4,0,-8)),
SUMIFS(tb_Cartao_Credito_Detalhado[[Mês 10]:[Mês 10]],tb_Cartao_Credito_Detalhado[Mês/Ano],OFFSET(AP$4,0,-9)),
SUMIFS(tb_Cartao_Credito_Detalhado[[Mês 11]:[Mês 11]],tb_Cartao_Credito_Detalhado[Mês/Ano],OFFSET(AP$4,0,-10)),
SUMIFS(tb_Cartao_Credito_Detalhado[[Mês 12]:[Mês 12]],tb_Cartao_Credito_Detalhado[Mês/Ano],OFFSET(AP$4,0,-11)),
SUMIFS(tb_Cartao_Credito_Detalhado[[Mês 13]:[Mês 13]],tb_Cartao_Credito_Detalhado[Mês/Ano],OFFSET(AP$4,0,-12)),
SUMIFS(tb_Cartao_Credito_Detalhado[[Mês 14]:[Mês 14]],tb_Cartao_Credito_Detalhado[Mês/Ano],OFFSET(AP$4,0,-13)),
SUMIFS(tb_Cartao_Credito_Detalhado[[Mês 15]:[Mês 15]],tb_Cartao_Credito_Detalhado[Mês/Ano],OFFSET(AP$4,0,-14)),
SUMIFS(tb_Cartao_Credito_Detalhado[[Mês 16]:[Mês 16]],tb_Cartao_Credito_Detalhado[Mês/Ano],OFFSET(AP$4,0,-15)),
SUMIFS(tb_Cartao_Credito_Detalhado[[Mês 17]:[Mês 17]],tb_Cartao_Credito_Detalhado[Mês/Ano],OFFSET(AP$4,0,-16)),
SUMIFS(tb_Cartao_Credito_Detalhado[[Mês 18]:[Mês 18]],tb_Cartao_Credito_Detalhado[Mês/Ano],OFFSET(AP$4,0,-17)),
SUMIFS(tb_Cartao_Credito_Detalhado[[Mês 19]:[Mês 19]],tb_Cartao_Credito_Detalhado[Mês/Ano],OFFSET(AP$4,0,-18)),
SUMIFS(tb_Cartao_Credito_Detalhado[[Mês 20]:[Mês 20]],tb_Cartao_Credito_Detalhado[Mês/Ano],OFFSET(AP$4,0,-19)),
SUMIFS(tb_Cartao_Credito_Detalhado[[Mês 21]:[Mês 21]],tb_Cartao_Credito_Detalhado[Mês/Ano],OFFSET(AP$4,0,-20)),
SUMIFS(tb_Cartao_Credito_Detalhado[[Mês 22]:[Mês 22]],tb_Cartao_Credito_Detalhado[Mês/Ano],OFFSET(AP$4,0,-21)),
SUMIFS(tb_Cartao_Credito_Detalhado[[Mês 23]:[Mês 23]],tb_Cartao_Credito_Detalhado[Mês/Ano],OFFSET(AP$4,0,-22)),
SUMIFS(tb_Cartao_Credito_Detalhado[[Mês 24]:[Mês 24]],tb_Cartao_Credito_Detalhado[Mês/Ano],OFFSET(AP$4,0,-23)),
SUMIFS(tb_Cartao_Credito_Detalhado[[Mês 25]:[Mês 25]],tb_Cartao_Credito_Detalhado[Mês/Ano],OFFSET(AP$4,0,-24)),
SUMIFS(tb_Cartao_Credito_Detalhado[[Mês 26]:[Mês 26]],tb_Cartao_Credito_Detalhado[Mês/Ano],OFFSET(AP$4,0,-25)),
SUMIFS(tb_Cartao_Credito_Detalhado[[Mês 27]:[Mês 27]],tb_Cartao_Credito_Detalhado[Mês/Ano],OFFSET(AP$4,0,-26)),
SUMIFS(tb_Cartao_Credito_Detalhado[[Mês 28]:[Mês 28]],tb_Cartao_Credito_Detalhado[Mês/Ano],OFFSET(AP$4,0,-27)),
SUMIFS(tb_Cartao_Credito_Detalhado[[Mês 29]:[Mês 29]],tb_Cartao_Credito_Detalhado[Mês/Ano],OFFSET(AP$4,0,-28)),
SUMIFS(tb_Cartao_Credito_Detalhado[[Mês 30]:[Mês 30]],tb_Cartao_Credito_Detalhado[Mês/Ano],OFFSET(AP$4,0,-29)),
SUMIFS(tb_Cartao_Credito_Detalhado[[Mês 31]:[Mês 31]],tb_Cartao_Credito_Detalhado[Mês/Ano],OFFSET(AP$4,0,-30)),
SUMIFS(tb_Cartao_Credito_Detalhado[[Mês 32]:[Mês 32]],tb_Cartao_Credito_Detalhado[Mês/Ano],OFFSET(AP$4,0,-31)),
SUMIFS(tb_Cartao_Credito_Detalhado[[Mês 33]:[Mês 33]],tb_Cartao_Credito_Detalhado[Mês/Ano],OFFSET(AP$4,0,-32)),
SUMIFS(tb_Cartao_Credito_Detalhado[[Mês 34]:[Mês 34]],tb_Cartao_Credito_Detalhado[Mês/Ano],OFFSET(AP$4,0,-33)),
SUMIFS(tb_Cartao_Credito_Detalhado[[Mês 35]:[Mês 35]],tb_Cartao_Credito_Detalhado[Mês/Ano],OFFSET(AP$4,0,-34)),
SUMIFS(tb_Cartao_Credito_Detalhado[[Mês 36]:[Mês 36]],tb_Cartao_Credito_Detalhado[Mês/Ano],OFFSET(AP$4,0,-35)),
SUMIFS(tb_Cartao_Credito_Detalhado[[Mês 37]:[Mês 37]],tb_Cartao_Credito_Detalhado[Mês/Ano],OFFSET(AP$4,0,-36)),
SUMIFS(tb_Cartao_Credito_Detalhado[[Mês 38]:[Mês 38]],tb_Cartao_Credito_Detalhado[Mês/Ano],OFFSET(AP$4,0,-37)),
SUMIFS(tb_Cartao_Credito_Detalhado[[Mês 39]:[Mês 39]],tb_Cartao_Credito_Detalhado[Mês/Ano],OFFSET(AP$4,0,-38)),
SUMIFS(tb_Cartao_Credito_Detalhado[[Mês 40]:[Mês 40]],tb_Cartao_Credito_Detalhado[Mês/Ano],OFFSET(AP$4,0,-39)),
SUMIFS(tb_Cartao_Credito_Detalhado[[Mês 41]:[Mês 41]],tb_Cartao_Credito_Detalhado[Mês/Ano],OFFSET(AP$4,0,-40)),
SUMIFS(tb_Cartao_Credito_Detalhado[[Mês 42]:[Mês 42]],tb_Cartao_Credito_Detalhado[Mês/Ano],OFFSET(AP$4,0,-41)),
SUMIFS(tb_Cartao_Credito_Detalhado[[Mês 43]:[Mês 43]],tb_Cartao_Credito_Detalhado[Mês/Ano],OFFSET(AP$4,0,-42)),
SUMIFS(tb_Cartao_Credito_Detalhado[[Mês 44]:[Mês 44]],tb_Cartao_Credito_Detalhado[Mês/Ano],OFFSET(AP$4,0,-43)),
SUMIFS(tb_Cartao_Credito_Detalhado[[Mês 45]:[Mês 45]],tb_Cartao_Credito_Detalhado[Mês/Ano],OFFSET(AP$4,0,-44)),
)</calculatedColumnFormula>
    </tableColumn>
    <tableColumn id="42" name="abr-2020" dataDxfId="9">
      <calculatedColumnFormula>SUM(
SUMIFS(tb_Cartao_Credito_Detalhado[[Mês 1]:[Mês 1]],tb_Cartao_Credito_Detalhado[Mês/Ano],AQ$4),
SUMIFS(tb_Cartao_Credito_Detalhado[[Mês 2]:[Mês 2]],tb_Cartao_Credito_Detalhado[Mês/Ano],OFFSET(AQ$4,0,-1)),
SUMIFS(tb_Cartao_Credito_Detalhado[[Mês 3]:[Mês 3]],tb_Cartao_Credito_Detalhado[Mês/Ano],OFFSET(AQ$4,0,-2)),
SUMIFS(tb_Cartao_Credito_Detalhado[[Mês 4]:[Mês 4]],tb_Cartao_Credito_Detalhado[Mês/Ano],OFFSET(AQ$4,0,-3)),
SUMIFS(tb_Cartao_Credito_Detalhado[[Mês 5]:[Mês 5]],tb_Cartao_Credito_Detalhado[Mês/Ano],OFFSET(AQ$4,0,-4)),
SUMIFS(tb_Cartao_Credito_Detalhado[[Mês 6]:[Mês 6]],tb_Cartao_Credito_Detalhado[Mês/Ano],OFFSET(AQ$4,0,-5)),
SUMIFS(tb_Cartao_Credito_Detalhado[[Mês 7]:[Mês 7]],tb_Cartao_Credito_Detalhado[Mês/Ano],OFFSET(AQ$4,0,-6)),
SUMIFS(tb_Cartao_Credito_Detalhado[[Mês 8]:[Mês 8]],tb_Cartao_Credito_Detalhado[Mês/Ano],OFFSET(AQ$4,0,-7)),
SUMIFS(tb_Cartao_Credito_Detalhado[[Mês 9]:[Mês 9]],tb_Cartao_Credito_Detalhado[Mês/Ano],OFFSET(AQ$4,0,-8)),
SUMIFS(tb_Cartao_Credito_Detalhado[[Mês 10]:[Mês 10]],tb_Cartao_Credito_Detalhado[Mês/Ano],OFFSET(AQ$4,0,-9)),
SUMIFS(tb_Cartao_Credito_Detalhado[[Mês 11]:[Mês 11]],tb_Cartao_Credito_Detalhado[Mês/Ano],OFFSET(AQ$4,0,-10)),
SUMIFS(tb_Cartao_Credito_Detalhado[[Mês 12]:[Mês 12]],tb_Cartao_Credito_Detalhado[Mês/Ano],OFFSET(AQ$4,0,-11)),
SUMIFS(tb_Cartao_Credito_Detalhado[[Mês 13]:[Mês 13]],tb_Cartao_Credito_Detalhado[Mês/Ano],OFFSET(AQ$4,0,-12)),
SUMIFS(tb_Cartao_Credito_Detalhado[[Mês 14]:[Mês 14]],tb_Cartao_Credito_Detalhado[Mês/Ano],OFFSET(AQ$4,0,-13)),
SUMIFS(tb_Cartao_Credito_Detalhado[[Mês 15]:[Mês 15]],tb_Cartao_Credito_Detalhado[Mês/Ano],OFFSET(AQ$4,0,-14)),
SUMIFS(tb_Cartao_Credito_Detalhado[[Mês 16]:[Mês 16]],tb_Cartao_Credito_Detalhado[Mês/Ano],OFFSET(AQ$4,0,-15)),
SUMIFS(tb_Cartao_Credito_Detalhado[[Mês 17]:[Mês 17]],tb_Cartao_Credito_Detalhado[Mês/Ano],OFFSET(AQ$4,0,-16)),
SUMIFS(tb_Cartao_Credito_Detalhado[[Mês 18]:[Mês 18]],tb_Cartao_Credito_Detalhado[Mês/Ano],OFFSET(AQ$4,0,-17)),
SUMIFS(tb_Cartao_Credito_Detalhado[[Mês 19]:[Mês 19]],tb_Cartao_Credito_Detalhado[Mês/Ano],OFFSET(AQ$4,0,-18)),
SUMIFS(tb_Cartao_Credito_Detalhado[[Mês 20]:[Mês 20]],tb_Cartao_Credito_Detalhado[Mês/Ano],OFFSET(AQ$4,0,-19)),
SUMIFS(tb_Cartao_Credito_Detalhado[[Mês 21]:[Mês 21]],tb_Cartao_Credito_Detalhado[Mês/Ano],OFFSET(AQ$4,0,-20)),
SUMIFS(tb_Cartao_Credito_Detalhado[[Mês 22]:[Mês 22]],tb_Cartao_Credito_Detalhado[Mês/Ano],OFFSET(AQ$4,0,-21)),
SUMIFS(tb_Cartao_Credito_Detalhado[[Mês 23]:[Mês 23]],tb_Cartao_Credito_Detalhado[Mês/Ano],OFFSET(AQ$4,0,-22)),
SUMIFS(tb_Cartao_Credito_Detalhado[[Mês 24]:[Mês 24]],tb_Cartao_Credito_Detalhado[Mês/Ano],OFFSET(AQ$4,0,-23)),
SUMIFS(tb_Cartao_Credito_Detalhado[[Mês 25]:[Mês 25]],tb_Cartao_Credito_Detalhado[Mês/Ano],OFFSET(AQ$4,0,-24)),
SUMIFS(tb_Cartao_Credito_Detalhado[[Mês 26]:[Mês 26]],tb_Cartao_Credito_Detalhado[Mês/Ano],OFFSET(AQ$4,0,-25)),
SUMIFS(tb_Cartao_Credito_Detalhado[[Mês 27]:[Mês 27]],tb_Cartao_Credito_Detalhado[Mês/Ano],OFFSET(AQ$4,0,-26)),
SUMIFS(tb_Cartao_Credito_Detalhado[[Mês 28]:[Mês 28]],tb_Cartao_Credito_Detalhado[Mês/Ano],OFFSET(AQ$4,0,-27)),
SUMIFS(tb_Cartao_Credito_Detalhado[[Mês 29]:[Mês 29]],tb_Cartao_Credito_Detalhado[Mês/Ano],OFFSET(AQ$4,0,-28)),
SUMIFS(tb_Cartao_Credito_Detalhado[[Mês 30]:[Mês 30]],tb_Cartao_Credito_Detalhado[Mês/Ano],OFFSET(AQ$4,0,-29)),
SUMIFS(tb_Cartao_Credito_Detalhado[[Mês 31]:[Mês 31]],tb_Cartao_Credito_Detalhado[Mês/Ano],OFFSET(AQ$4,0,-30)),
SUMIFS(tb_Cartao_Credito_Detalhado[[Mês 32]:[Mês 32]],tb_Cartao_Credito_Detalhado[Mês/Ano],OFFSET(AQ$4,0,-31)),
SUMIFS(tb_Cartao_Credito_Detalhado[[Mês 33]:[Mês 33]],tb_Cartao_Credito_Detalhado[Mês/Ano],OFFSET(AQ$4,0,-32)),
SUMIFS(tb_Cartao_Credito_Detalhado[[Mês 34]:[Mês 34]],tb_Cartao_Credito_Detalhado[Mês/Ano],OFFSET(AQ$4,0,-33)),
SUMIFS(tb_Cartao_Credito_Detalhado[[Mês 35]:[Mês 35]],tb_Cartao_Credito_Detalhado[Mês/Ano],OFFSET(AQ$4,0,-34)),
SUMIFS(tb_Cartao_Credito_Detalhado[[Mês 36]:[Mês 36]],tb_Cartao_Credito_Detalhado[Mês/Ano],OFFSET(AQ$4,0,-35)),
SUMIFS(tb_Cartao_Credito_Detalhado[[Mês 37]:[Mês 37]],tb_Cartao_Credito_Detalhado[Mês/Ano],OFFSET(AQ$4,0,-36)),
SUMIFS(tb_Cartao_Credito_Detalhado[[Mês 38]:[Mês 38]],tb_Cartao_Credito_Detalhado[Mês/Ano],OFFSET(AQ$4,0,-37)),
SUMIFS(tb_Cartao_Credito_Detalhado[[Mês 39]:[Mês 39]],tb_Cartao_Credito_Detalhado[Mês/Ano],OFFSET(AQ$4,0,-38)),
SUMIFS(tb_Cartao_Credito_Detalhado[[Mês 40]:[Mês 40]],tb_Cartao_Credito_Detalhado[Mês/Ano],OFFSET(AQ$4,0,-39)),
SUMIFS(tb_Cartao_Credito_Detalhado[[Mês 41]:[Mês 41]],tb_Cartao_Credito_Detalhado[Mês/Ano],OFFSET(AQ$4,0,-40)),
SUMIFS(tb_Cartao_Credito_Detalhado[[Mês 42]:[Mês 42]],tb_Cartao_Credito_Detalhado[Mês/Ano],OFFSET(AQ$4,0,-41)),
SUMIFS(tb_Cartao_Credito_Detalhado[[Mês 43]:[Mês 43]],tb_Cartao_Credito_Detalhado[Mês/Ano],OFFSET(AQ$4,0,-42)),
SUMIFS(tb_Cartao_Credito_Detalhado[[Mês 44]:[Mês 44]],tb_Cartao_Credito_Detalhado[Mês/Ano],OFFSET(AQ$4,0,-43)),
SUMIFS(tb_Cartao_Credito_Detalhado[[Mês 45]:[Mês 45]],tb_Cartao_Credito_Detalhado[Mês/Ano],OFFSET(AQ$4,0,-44)),
)</calculatedColumnFormula>
    </tableColumn>
    <tableColumn id="43" name="mai-2020" dataDxfId="8">
      <calculatedColumnFormula>SUM(
SUMIFS(tb_Cartao_Credito_Detalhado[[Mês 1]:[Mês 1]],tb_Cartao_Credito_Detalhado[Mês/Ano],AR$4),
SUMIFS(tb_Cartao_Credito_Detalhado[[Mês 2]:[Mês 2]],tb_Cartao_Credito_Detalhado[Mês/Ano],OFFSET(AR$4,0,-1)),
SUMIFS(tb_Cartao_Credito_Detalhado[[Mês 3]:[Mês 3]],tb_Cartao_Credito_Detalhado[Mês/Ano],OFFSET(AR$4,0,-2)),
SUMIFS(tb_Cartao_Credito_Detalhado[[Mês 4]:[Mês 4]],tb_Cartao_Credito_Detalhado[Mês/Ano],OFFSET(AR$4,0,-3)),
SUMIFS(tb_Cartao_Credito_Detalhado[[Mês 5]:[Mês 5]],tb_Cartao_Credito_Detalhado[Mês/Ano],OFFSET(AR$4,0,-4)),
SUMIFS(tb_Cartao_Credito_Detalhado[[Mês 6]:[Mês 6]],tb_Cartao_Credito_Detalhado[Mês/Ano],OFFSET(AR$4,0,-5)),
SUMIFS(tb_Cartao_Credito_Detalhado[[Mês 7]:[Mês 7]],tb_Cartao_Credito_Detalhado[Mês/Ano],OFFSET(AR$4,0,-6)),
SUMIFS(tb_Cartao_Credito_Detalhado[[Mês 8]:[Mês 8]],tb_Cartao_Credito_Detalhado[Mês/Ano],OFFSET(AR$4,0,-7)),
SUMIFS(tb_Cartao_Credito_Detalhado[[Mês 9]:[Mês 9]],tb_Cartao_Credito_Detalhado[Mês/Ano],OFFSET(AR$4,0,-8)),
SUMIFS(tb_Cartao_Credito_Detalhado[[Mês 10]:[Mês 10]],tb_Cartao_Credito_Detalhado[Mês/Ano],OFFSET(AR$4,0,-9)),
SUMIFS(tb_Cartao_Credito_Detalhado[[Mês 11]:[Mês 11]],tb_Cartao_Credito_Detalhado[Mês/Ano],OFFSET(AR$4,0,-10)),
SUMIFS(tb_Cartao_Credito_Detalhado[[Mês 12]:[Mês 12]],tb_Cartao_Credito_Detalhado[Mês/Ano],OFFSET(AR$4,0,-11)),
SUMIFS(tb_Cartao_Credito_Detalhado[[Mês 13]:[Mês 13]],tb_Cartao_Credito_Detalhado[Mês/Ano],OFFSET(AR$4,0,-12)),
SUMIFS(tb_Cartao_Credito_Detalhado[[Mês 14]:[Mês 14]],tb_Cartao_Credito_Detalhado[Mês/Ano],OFFSET(AR$4,0,-13)),
SUMIFS(tb_Cartao_Credito_Detalhado[[Mês 15]:[Mês 15]],tb_Cartao_Credito_Detalhado[Mês/Ano],OFFSET(AR$4,0,-14)),
SUMIFS(tb_Cartao_Credito_Detalhado[[Mês 16]:[Mês 16]],tb_Cartao_Credito_Detalhado[Mês/Ano],OFFSET(AR$4,0,-15)),
SUMIFS(tb_Cartao_Credito_Detalhado[[Mês 17]:[Mês 17]],tb_Cartao_Credito_Detalhado[Mês/Ano],OFFSET(AR$4,0,-16)),
SUMIFS(tb_Cartao_Credito_Detalhado[[Mês 18]:[Mês 18]],tb_Cartao_Credito_Detalhado[Mês/Ano],OFFSET(AR$4,0,-17)),
SUMIFS(tb_Cartao_Credito_Detalhado[[Mês 19]:[Mês 19]],tb_Cartao_Credito_Detalhado[Mês/Ano],OFFSET(AR$4,0,-18)),
SUMIFS(tb_Cartao_Credito_Detalhado[[Mês 20]:[Mês 20]],tb_Cartao_Credito_Detalhado[Mês/Ano],OFFSET(AR$4,0,-19)),
SUMIFS(tb_Cartao_Credito_Detalhado[[Mês 21]:[Mês 21]],tb_Cartao_Credito_Detalhado[Mês/Ano],OFFSET(AR$4,0,-20)),
SUMIFS(tb_Cartao_Credito_Detalhado[[Mês 22]:[Mês 22]],tb_Cartao_Credito_Detalhado[Mês/Ano],OFFSET(AR$4,0,-21)),
SUMIFS(tb_Cartao_Credito_Detalhado[[Mês 23]:[Mês 23]],tb_Cartao_Credito_Detalhado[Mês/Ano],OFFSET(AR$4,0,-22)),
SUMIFS(tb_Cartao_Credito_Detalhado[[Mês 24]:[Mês 24]],tb_Cartao_Credito_Detalhado[Mês/Ano],OFFSET(AR$4,0,-23)),
SUMIFS(tb_Cartao_Credito_Detalhado[[Mês 25]:[Mês 25]],tb_Cartao_Credito_Detalhado[Mês/Ano],OFFSET(AR$4,0,-24)),
SUMIFS(tb_Cartao_Credito_Detalhado[[Mês 26]:[Mês 26]],tb_Cartao_Credito_Detalhado[Mês/Ano],OFFSET(AR$4,0,-25)),
SUMIFS(tb_Cartao_Credito_Detalhado[[Mês 27]:[Mês 27]],tb_Cartao_Credito_Detalhado[Mês/Ano],OFFSET(AR$4,0,-26)),
SUMIFS(tb_Cartao_Credito_Detalhado[[Mês 28]:[Mês 28]],tb_Cartao_Credito_Detalhado[Mês/Ano],OFFSET(AR$4,0,-27)),
SUMIFS(tb_Cartao_Credito_Detalhado[[Mês 29]:[Mês 29]],tb_Cartao_Credito_Detalhado[Mês/Ano],OFFSET(AR$4,0,-28)),
SUMIFS(tb_Cartao_Credito_Detalhado[[Mês 30]:[Mês 30]],tb_Cartao_Credito_Detalhado[Mês/Ano],OFFSET(AR$4,0,-29)),
SUMIFS(tb_Cartao_Credito_Detalhado[[Mês 31]:[Mês 31]],tb_Cartao_Credito_Detalhado[Mês/Ano],OFFSET(AR$4,0,-30)),
SUMIFS(tb_Cartao_Credito_Detalhado[[Mês 32]:[Mês 32]],tb_Cartao_Credito_Detalhado[Mês/Ano],OFFSET(AR$4,0,-31)),
SUMIFS(tb_Cartao_Credito_Detalhado[[Mês 33]:[Mês 33]],tb_Cartao_Credito_Detalhado[Mês/Ano],OFFSET(AR$4,0,-32)),
SUMIFS(tb_Cartao_Credito_Detalhado[[Mês 34]:[Mês 34]],tb_Cartao_Credito_Detalhado[Mês/Ano],OFFSET(AR$4,0,-33)),
SUMIFS(tb_Cartao_Credito_Detalhado[[Mês 35]:[Mês 35]],tb_Cartao_Credito_Detalhado[Mês/Ano],OFFSET(AR$4,0,-34)),
SUMIFS(tb_Cartao_Credito_Detalhado[[Mês 36]:[Mês 36]],tb_Cartao_Credito_Detalhado[Mês/Ano],OFFSET(AR$4,0,-35)),
SUMIFS(tb_Cartao_Credito_Detalhado[[Mês 37]:[Mês 37]],tb_Cartao_Credito_Detalhado[Mês/Ano],OFFSET(AR$4,0,-36)),
SUMIFS(tb_Cartao_Credito_Detalhado[[Mês 38]:[Mês 38]],tb_Cartao_Credito_Detalhado[Mês/Ano],OFFSET(AR$4,0,-37)),
SUMIFS(tb_Cartao_Credito_Detalhado[[Mês 39]:[Mês 39]],tb_Cartao_Credito_Detalhado[Mês/Ano],OFFSET(AR$4,0,-38)),
SUMIFS(tb_Cartao_Credito_Detalhado[[Mês 40]:[Mês 40]],tb_Cartao_Credito_Detalhado[Mês/Ano],OFFSET(AR$4,0,-39)),
SUMIFS(tb_Cartao_Credito_Detalhado[[Mês 41]:[Mês 41]],tb_Cartao_Credito_Detalhado[Mês/Ano],OFFSET(AR$4,0,-40)),
SUMIFS(tb_Cartao_Credito_Detalhado[[Mês 42]:[Mês 42]],tb_Cartao_Credito_Detalhado[Mês/Ano],OFFSET(AR$4,0,-41)),
SUMIFS(tb_Cartao_Credito_Detalhado[[Mês 43]:[Mês 43]],tb_Cartao_Credito_Detalhado[Mês/Ano],OFFSET(AR$4,0,-42)),
SUMIFS(tb_Cartao_Credito_Detalhado[[Mês 44]:[Mês 44]],tb_Cartao_Credito_Detalhado[Mês/Ano],OFFSET(AR$4,0,-43)),
SUMIFS(tb_Cartao_Credito_Detalhado[[Mês 45]:[Mês 45]],tb_Cartao_Credito_Detalhado[Mês/Ano],OFFSET(AR$4,0,-44)),
)</calculatedColumnFormula>
    </tableColumn>
    <tableColumn id="44" name="jun-2020" dataDxfId="7">
      <calculatedColumnFormula>SUM(
SUMIFS(tb_Cartao_Credito_Detalhado[[Mês 1]:[Mês 1]],tb_Cartao_Credito_Detalhado[Mês/Ano],AS$4),
SUMIFS(tb_Cartao_Credito_Detalhado[[Mês 2]:[Mês 2]],tb_Cartao_Credito_Detalhado[Mês/Ano],OFFSET(AS$4,0,-1)),
SUMIFS(tb_Cartao_Credito_Detalhado[[Mês 3]:[Mês 3]],tb_Cartao_Credito_Detalhado[Mês/Ano],OFFSET(AS$4,0,-2)),
SUMIFS(tb_Cartao_Credito_Detalhado[[Mês 4]:[Mês 4]],tb_Cartao_Credito_Detalhado[Mês/Ano],OFFSET(AS$4,0,-3)),
SUMIFS(tb_Cartao_Credito_Detalhado[[Mês 5]:[Mês 5]],tb_Cartao_Credito_Detalhado[Mês/Ano],OFFSET(AS$4,0,-4)),
SUMIFS(tb_Cartao_Credito_Detalhado[[Mês 6]:[Mês 6]],tb_Cartao_Credito_Detalhado[Mês/Ano],OFFSET(AS$4,0,-5)),
SUMIFS(tb_Cartao_Credito_Detalhado[[Mês 7]:[Mês 7]],tb_Cartao_Credito_Detalhado[Mês/Ano],OFFSET(AS$4,0,-6)),
SUMIFS(tb_Cartao_Credito_Detalhado[[Mês 8]:[Mês 8]],tb_Cartao_Credito_Detalhado[Mês/Ano],OFFSET(AS$4,0,-7)),
SUMIFS(tb_Cartao_Credito_Detalhado[[Mês 9]:[Mês 9]],tb_Cartao_Credito_Detalhado[Mês/Ano],OFFSET(AS$4,0,-8)),
SUMIFS(tb_Cartao_Credito_Detalhado[[Mês 10]:[Mês 10]],tb_Cartao_Credito_Detalhado[Mês/Ano],OFFSET(AS$4,0,-9)),
SUMIFS(tb_Cartao_Credito_Detalhado[[Mês 11]:[Mês 11]],tb_Cartao_Credito_Detalhado[Mês/Ano],OFFSET(AS$4,0,-10)),
SUMIFS(tb_Cartao_Credito_Detalhado[[Mês 12]:[Mês 12]],tb_Cartao_Credito_Detalhado[Mês/Ano],OFFSET(AS$4,0,-11)),
SUMIFS(tb_Cartao_Credito_Detalhado[[Mês 13]:[Mês 13]],tb_Cartao_Credito_Detalhado[Mês/Ano],OFFSET(AS$4,0,-12)),
SUMIFS(tb_Cartao_Credito_Detalhado[[Mês 14]:[Mês 14]],tb_Cartao_Credito_Detalhado[Mês/Ano],OFFSET(AS$4,0,-13)),
SUMIFS(tb_Cartao_Credito_Detalhado[[Mês 15]:[Mês 15]],tb_Cartao_Credito_Detalhado[Mês/Ano],OFFSET(AS$4,0,-14)),
SUMIFS(tb_Cartao_Credito_Detalhado[[Mês 16]:[Mês 16]],tb_Cartao_Credito_Detalhado[Mês/Ano],OFFSET(AS$4,0,-15)),
SUMIFS(tb_Cartao_Credito_Detalhado[[Mês 17]:[Mês 17]],tb_Cartao_Credito_Detalhado[Mês/Ano],OFFSET(AS$4,0,-16)),
SUMIFS(tb_Cartao_Credito_Detalhado[[Mês 18]:[Mês 18]],tb_Cartao_Credito_Detalhado[Mês/Ano],OFFSET(AS$4,0,-17)),
SUMIFS(tb_Cartao_Credito_Detalhado[[Mês 19]:[Mês 19]],tb_Cartao_Credito_Detalhado[Mês/Ano],OFFSET(AS$4,0,-18)),
SUMIFS(tb_Cartao_Credito_Detalhado[[Mês 20]:[Mês 20]],tb_Cartao_Credito_Detalhado[Mês/Ano],OFFSET(AS$4,0,-19)),
SUMIFS(tb_Cartao_Credito_Detalhado[[Mês 21]:[Mês 21]],tb_Cartao_Credito_Detalhado[Mês/Ano],OFFSET(AS$4,0,-20)),
SUMIFS(tb_Cartao_Credito_Detalhado[[Mês 22]:[Mês 22]],tb_Cartao_Credito_Detalhado[Mês/Ano],OFFSET(AS$4,0,-21)),
SUMIFS(tb_Cartao_Credito_Detalhado[[Mês 23]:[Mês 23]],tb_Cartao_Credito_Detalhado[Mês/Ano],OFFSET(AS$4,0,-22)),
SUMIFS(tb_Cartao_Credito_Detalhado[[Mês 24]:[Mês 24]],tb_Cartao_Credito_Detalhado[Mês/Ano],OFFSET(AS$4,0,-23)),
SUMIFS(tb_Cartao_Credito_Detalhado[[Mês 25]:[Mês 25]],tb_Cartao_Credito_Detalhado[Mês/Ano],OFFSET(AS$4,0,-24)),
SUMIFS(tb_Cartao_Credito_Detalhado[[Mês 26]:[Mês 26]],tb_Cartao_Credito_Detalhado[Mês/Ano],OFFSET(AS$4,0,-25)),
SUMIFS(tb_Cartao_Credito_Detalhado[[Mês 27]:[Mês 27]],tb_Cartao_Credito_Detalhado[Mês/Ano],OFFSET(AS$4,0,-26)),
SUMIFS(tb_Cartao_Credito_Detalhado[[Mês 28]:[Mês 28]],tb_Cartao_Credito_Detalhado[Mês/Ano],OFFSET(AS$4,0,-27)),
SUMIFS(tb_Cartao_Credito_Detalhado[[Mês 29]:[Mês 29]],tb_Cartao_Credito_Detalhado[Mês/Ano],OFFSET(AS$4,0,-28)),
SUMIFS(tb_Cartao_Credito_Detalhado[[Mês 30]:[Mês 30]],tb_Cartao_Credito_Detalhado[Mês/Ano],OFFSET(AS$4,0,-29)),
SUMIFS(tb_Cartao_Credito_Detalhado[[Mês 31]:[Mês 31]],tb_Cartao_Credito_Detalhado[Mês/Ano],OFFSET(AS$4,0,-30)),
SUMIFS(tb_Cartao_Credito_Detalhado[[Mês 32]:[Mês 32]],tb_Cartao_Credito_Detalhado[Mês/Ano],OFFSET(AS$4,0,-31)),
SUMIFS(tb_Cartao_Credito_Detalhado[[Mês 33]:[Mês 33]],tb_Cartao_Credito_Detalhado[Mês/Ano],OFFSET(AS$4,0,-32)),
SUMIFS(tb_Cartao_Credito_Detalhado[[Mês 34]:[Mês 34]],tb_Cartao_Credito_Detalhado[Mês/Ano],OFFSET(AS$4,0,-33)),
SUMIFS(tb_Cartao_Credito_Detalhado[[Mês 35]:[Mês 35]],tb_Cartao_Credito_Detalhado[Mês/Ano],OFFSET(AS$4,0,-34)),
SUMIFS(tb_Cartao_Credito_Detalhado[[Mês 36]:[Mês 36]],tb_Cartao_Credito_Detalhado[Mês/Ano],OFFSET(AS$4,0,-35)),
SUMIFS(tb_Cartao_Credito_Detalhado[[Mês 37]:[Mês 37]],tb_Cartao_Credito_Detalhado[Mês/Ano],OFFSET(AS$4,0,-36)),
SUMIFS(tb_Cartao_Credito_Detalhado[[Mês 38]:[Mês 38]],tb_Cartao_Credito_Detalhado[Mês/Ano],OFFSET(AS$4,0,-37)),
SUMIFS(tb_Cartao_Credito_Detalhado[[Mês 39]:[Mês 39]],tb_Cartao_Credito_Detalhado[Mês/Ano],OFFSET(AS$4,0,-38)),
SUMIFS(tb_Cartao_Credito_Detalhado[[Mês 40]:[Mês 40]],tb_Cartao_Credito_Detalhado[Mês/Ano],OFFSET(AS$4,0,-39)),
SUMIFS(tb_Cartao_Credito_Detalhado[[Mês 41]:[Mês 41]],tb_Cartao_Credito_Detalhado[Mês/Ano],OFFSET(AS$4,0,-40)),
SUMIFS(tb_Cartao_Credito_Detalhado[[Mês 42]:[Mês 42]],tb_Cartao_Credito_Detalhado[Mês/Ano],OFFSET(AS$4,0,-41)),
SUMIFS(tb_Cartao_Credito_Detalhado[[Mês 43]:[Mês 43]],tb_Cartao_Credito_Detalhado[Mês/Ano],OFFSET(AS$4,0,-42)),
SUMIFS(tb_Cartao_Credito_Detalhado[[Mês 44]:[Mês 44]],tb_Cartao_Credito_Detalhado[Mês/Ano],OFFSET(AS$4,0,-43)),
SUMIFS(tb_Cartao_Credito_Detalhado[[Mês 45]:[Mês 45]],tb_Cartao_Credito_Detalhado[Mês/Ano],OFFSET(AS$4,0,-44)),
)</calculatedColumnFormula>
    </tableColumn>
    <tableColumn id="45" name="jul-2020" dataDxfId="6">
      <calculatedColumnFormula>SUM(
SUMIFS(tb_Cartao_Credito_Detalhado[[Mês 1]:[Mês 1]],tb_Cartao_Credito_Detalhado[Mês/Ano],AT$4),
SUMIFS(tb_Cartao_Credito_Detalhado[[Mês 2]:[Mês 2]],tb_Cartao_Credito_Detalhado[Mês/Ano],OFFSET(AT$4,0,-1)),
SUMIFS(tb_Cartao_Credito_Detalhado[[Mês 3]:[Mês 3]],tb_Cartao_Credito_Detalhado[Mês/Ano],OFFSET(AT$4,0,-2)),
SUMIFS(tb_Cartao_Credito_Detalhado[[Mês 4]:[Mês 4]],tb_Cartao_Credito_Detalhado[Mês/Ano],OFFSET(AT$4,0,-3)),
SUMIFS(tb_Cartao_Credito_Detalhado[[Mês 5]:[Mês 5]],tb_Cartao_Credito_Detalhado[Mês/Ano],OFFSET(AT$4,0,-4)),
SUMIFS(tb_Cartao_Credito_Detalhado[[Mês 6]:[Mês 6]],tb_Cartao_Credito_Detalhado[Mês/Ano],OFFSET(AT$4,0,-5)),
SUMIFS(tb_Cartao_Credito_Detalhado[[Mês 7]:[Mês 7]],tb_Cartao_Credito_Detalhado[Mês/Ano],OFFSET(AT$4,0,-6)),
SUMIFS(tb_Cartao_Credito_Detalhado[[Mês 8]:[Mês 8]],tb_Cartao_Credito_Detalhado[Mês/Ano],OFFSET(AT$4,0,-7)),
SUMIFS(tb_Cartao_Credito_Detalhado[[Mês 9]:[Mês 9]],tb_Cartao_Credito_Detalhado[Mês/Ano],OFFSET(AT$4,0,-8)),
SUMIFS(tb_Cartao_Credito_Detalhado[[Mês 10]:[Mês 10]],tb_Cartao_Credito_Detalhado[Mês/Ano],OFFSET(AT$4,0,-9)),
SUMIFS(tb_Cartao_Credito_Detalhado[[Mês 11]:[Mês 11]],tb_Cartao_Credito_Detalhado[Mês/Ano],OFFSET(AT$4,0,-10)),
SUMIFS(tb_Cartao_Credito_Detalhado[[Mês 12]:[Mês 12]],tb_Cartao_Credito_Detalhado[Mês/Ano],OFFSET(AT$4,0,-11)),
SUMIFS(tb_Cartao_Credito_Detalhado[[Mês 13]:[Mês 13]],tb_Cartao_Credito_Detalhado[Mês/Ano],OFFSET(AT$4,0,-12)),
SUMIFS(tb_Cartao_Credito_Detalhado[[Mês 14]:[Mês 14]],tb_Cartao_Credito_Detalhado[Mês/Ano],OFFSET(AT$4,0,-13)),
SUMIFS(tb_Cartao_Credito_Detalhado[[Mês 15]:[Mês 15]],tb_Cartao_Credito_Detalhado[Mês/Ano],OFFSET(AT$4,0,-14)),
SUMIFS(tb_Cartao_Credito_Detalhado[[Mês 16]:[Mês 16]],tb_Cartao_Credito_Detalhado[Mês/Ano],OFFSET(AT$4,0,-15)),
SUMIFS(tb_Cartao_Credito_Detalhado[[Mês 17]:[Mês 17]],tb_Cartao_Credito_Detalhado[Mês/Ano],OFFSET(AT$4,0,-16)),
SUMIFS(tb_Cartao_Credito_Detalhado[[Mês 18]:[Mês 18]],tb_Cartao_Credito_Detalhado[Mês/Ano],OFFSET(AT$4,0,-17)),
SUMIFS(tb_Cartao_Credito_Detalhado[[Mês 19]:[Mês 19]],tb_Cartao_Credito_Detalhado[Mês/Ano],OFFSET(AT$4,0,-18)),
SUMIFS(tb_Cartao_Credito_Detalhado[[Mês 20]:[Mês 20]],tb_Cartao_Credito_Detalhado[Mês/Ano],OFFSET(AT$4,0,-19)),
SUMIFS(tb_Cartao_Credito_Detalhado[[Mês 21]:[Mês 21]],tb_Cartao_Credito_Detalhado[Mês/Ano],OFFSET(AT$4,0,-20)),
SUMIFS(tb_Cartao_Credito_Detalhado[[Mês 22]:[Mês 22]],tb_Cartao_Credito_Detalhado[Mês/Ano],OFFSET(AT$4,0,-21)),
SUMIFS(tb_Cartao_Credito_Detalhado[[Mês 23]:[Mês 23]],tb_Cartao_Credito_Detalhado[Mês/Ano],OFFSET(AT$4,0,-22)),
SUMIFS(tb_Cartao_Credito_Detalhado[[Mês 24]:[Mês 24]],tb_Cartao_Credito_Detalhado[Mês/Ano],OFFSET(AT$4,0,-23)),
SUMIFS(tb_Cartao_Credito_Detalhado[[Mês 25]:[Mês 25]],tb_Cartao_Credito_Detalhado[Mês/Ano],OFFSET(AT$4,0,-24)),
SUMIFS(tb_Cartao_Credito_Detalhado[[Mês 26]:[Mês 26]],tb_Cartao_Credito_Detalhado[Mês/Ano],OFFSET(AT$4,0,-25)),
SUMIFS(tb_Cartao_Credito_Detalhado[[Mês 27]:[Mês 27]],tb_Cartao_Credito_Detalhado[Mês/Ano],OFFSET(AT$4,0,-26)),
SUMIFS(tb_Cartao_Credito_Detalhado[[Mês 28]:[Mês 28]],tb_Cartao_Credito_Detalhado[Mês/Ano],OFFSET(AT$4,0,-27)),
SUMIFS(tb_Cartao_Credito_Detalhado[[Mês 29]:[Mês 29]],tb_Cartao_Credito_Detalhado[Mês/Ano],OFFSET(AT$4,0,-28)),
SUMIFS(tb_Cartao_Credito_Detalhado[[Mês 30]:[Mês 30]],tb_Cartao_Credito_Detalhado[Mês/Ano],OFFSET(AT$4,0,-29)),
SUMIFS(tb_Cartao_Credito_Detalhado[[Mês 31]:[Mês 31]],tb_Cartao_Credito_Detalhado[Mês/Ano],OFFSET(AT$4,0,-30)),
SUMIFS(tb_Cartao_Credito_Detalhado[[Mês 32]:[Mês 32]],tb_Cartao_Credito_Detalhado[Mês/Ano],OFFSET(AT$4,0,-31)),
SUMIFS(tb_Cartao_Credito_Detalhado[[Mês 33]:[Mês 33]],tb_Cartao_Credito_Detalhado[Mês/Ano],OFFSET(AT$4,0,-32)),
SUMIFS(tb_Cartao_Credito_Detalhado[[Mês 34]:[Mês 34]],tb_Cartao_Credito_Detalhado[Mês/Ano],OFFSET(AT$4,0,-33)),
SUMIFS(tb_Cartao_Credito_Detalhado[[Mês 35]:[Mês 35]],tb_Cartao_Credito_Detalhado[Mês/Ano],OFFSET(AT$4,0,-34)),
SUMIFS(tb_Cartao_Credito_Detalhado[[Mês 36]:[Mês 36]],tb_Cartao_Credito_Detalhado[Mês/Ano],OFFSET(AT$4,0,-35)),
SUMIFS(tb_Cartao_Credito_Detalhado[[Mês 37]:[Mês 37]],tb_Cartao_Credito_Detalhado[Mês/Ano],OFFSET(AT$4,0,-36)),
SUMIFS(tb_Cartao_Credito_Detalhado[[Mês 38]:[Mês 38]],tb_Cartao_Credito_Detalhado[Mês/Ano],OFFSET(AT$4,0,-37)),
SUMIFS(tb_Cartao_Credito_Detalhado[[Mês 39]:[Mês 39]],tb_Cartao_Credito_Detalhado[Mês/Ano],OFFSET(AT$4,0,-38)),
SUMIFS(tb_Cartao_Credito_Detalhado[[Mês 40]:[Mês 40]],tb_Cartao_Credito_Detalhado[Mês/Ano],OFFSET(AT$4,0,-39)),
SUMIFS(tb_Cartao_Credito_Detalhado[[Mês 41]:[Mês 41]],tb_Cartao_Credito_Detalhado[Mês/Ano],OFFSET(AT$4,0,-40)),
SUMIFS(tb_Cartao_Credito_Detalhado[[Mês 42]:[Mês 42]],tb_Cartao_Credito_Detalhado[Mês/Ano],OFFSET(AT$4,0,-41)),
SUMIFS(tb_Cartao_Credito_Detalhado[[Mês 43]:[Mês 43]],tb_Cartao_Credito_Detalhado[Mês/Ano],OFFSET(AT$4,0,-42)),
SUMIFS(tb_Cartao_Credito_Detalhado[[Mês 44]:[Mês 44]],tb_Cartao_Credito_Detalhado[Mês/Ano],OFFSET(AT$4,0,-43)),
SUMIFS(tb_Cartao_Credito_Detalhado[[Mês 45]:[Mês 45]],tb_Cartao_Credito_Detalhado[Mês/Ano],OFFSET(AT$4,0,-44)),
)</calculatedColumnFormula>
    </tableColumn>
    <tableColumn id="46" name="ago-2020" dataDxfId="5">
      <calculatedColumnFormula>SUM(
SUMIFS(tb_Cartao_Credito_Detalhado[[Mês 1]:[Mês 1]],tb_Cartao_Credito_Detalhado[Mês/Ano],AU$4),
SUMIFS(tb_Cartao_Credito_Detalhado[[Mês 2]:[Mês 2]],tb_Cartao_Credito_Detalhado[Mês/Ano],OFFSET(AU$4,0,-1)),
SUMIFS(tb_Cartao_Credito_Detalhado[[Mês 3]:[Mês 3]],tb_Cartao_Credito_Detalhado[Mês/Ano],OFFSET(AU$4,0,-2)),
SUMIFS(tb_Cartao_Credito_Detalhado[[Mês 4]:[Mês 4]],tb_Cartao_Credito_Detalhado[Mês/Ano],OFFSET(AU$4,0,-3)),
SUMIFS(tb_Cartao_Credito_Detalhado[[Mês 5]:[Mês 5]],tb_Cartao_Credito_Detalhado[Mês/Ano],OFFSET(AU$4,0,-4)),
SUMIFS(tb_Cartao_Credito_Detalhado[[Mês 6]:[Mês 6]],tb_Cartao_Credito_Detalhado[Mês/Ano],OFFSET(AU$4,0,-5)),
SUMIFS(tb_Cartao_Credito_Detalhado[[Mês 7]:[Mês 7]],tb_Cartao_Credito_Detalhado[Mês/Ano],OFFSET(AU$4,0,-6)),
SUMIFS(tb_Cartao_Credito_Detalhado[[Mês 8]:[Mês 8]],tb_Cartao_Credito_Detalhado[Mês/Ano],OFFSET(AU$4,0,-7)),
SUMIFS(tb_Cartao_Credito_Detalhado[[Mês 9]:[Mês 9]],tb_Cartao_Credito_Detalhado[Mês/Ano],OFFSET(AU$4,0,-8)),
SUMIFS(tb_Cartao_Credito_Detalhado[[Mês 10]:[Mês 10]],tb_Cartao_Credito_Detalhado[Mês/Ano],OFFSET(AU$4,0,-9)),
SUMIFS(tb_Cartao_Credito_Detalhado[[Mês 11]:[Mês 11]],tb_Cartao_Credito_Detalhado[Mês/Ano],OFFSET(AU$4,0,-10)),
SUMIFS(tb_Cartao_Credito_Detalhado[[Mês 12]:[Mês 12]],tb_Cartao_Credito_Detalhado[Mês/Ano],OFFSET(AU$4,0,-11)),
SUMIFS(tb_Cartao_Credito_Detalhado[[Mês 13]:[Mês 13]],tb_Cartao_Credito_Detalhado[Mês/Ano],OFFSET(AU$4,0,-12)),
SUMIFS(tb_Cartao_Credito_Detalhado[[Mês 14]:[Mês 14]],tb_Cartao_Credito_Detalhado[Mês/Ano],OFFSET(AU$4,0,-13)),
SUMIFS(tb_Cartao_Credito_Detalhado[[Mês 15]:[Mês 15]],tb_Cartao_Credito_Detalhado[Mês/Ano],OFFSET(AU$4,0,-14)),
SUMIFS(tb_Cartao_Credito_Detalhado[[Mês 16]:[Mês 16]],tb_Cartao_Credito_Detalhado[Mês/Ano],OFFSET(AU$4,0,-15)),
SUMIFS(tb_Cartao_Credito_Detalhado[[Mês 17]:[Mês 17]],tb_Cartao_Credito_Detalhado[Mês/Ano],OFFSET(AU$4,0,-16)),
SUMIFS(tb_Cartao_Credito_Detalhado[[Mês 18]:[Mês 18]],tb_Cartao_Credito_Detalhado[Mês/Ano],OFFSET(AU$4,0,-17)),
SUMIFS(tb_Cartao_Credito_Detalhado[[Mês 19]:[Mês 19]],tb_Cartao_Credito_Detalhado[Mês/Ano],OFFSET(AU$4,0,-18)),
SUMIFS(tb_Cartao_Credito_Detalhado[[Mês 20]:[Mês 20]],tb_Cartao_Credito_Detalhado[Mês/Ano],OFFSET(AU$4,0,-19)),
SUMIFS(tb_Cartao_Credito_Detalhado[[Mês 21]:[Mês 21]],tb_Cartao_Credito_Detalhado[Mês/Ano],OFFSET(AU$4,0,-20)),
SUMIFS(tb_Cartao_Credito_Detalhado[[Mês 22]:[Mês 22]],tb_Cartao_Credito_Detalhado[Mês/Ano],OFFSET(AU$4,0,-21)),
SUMIFS(tb_Cartao_Credito_Detalhado[[Mês 23]:[Mês 23]],tb_Cartao_Credito_Detalhado[Mês/Ano],OFFSET(AU$4,0,-22)),
SUMIFS(tb_Cartao_Credito_Detalhado[[Mês 24]:[Mês 24]],tb_Cartao_Credito_Detalhado[Mês/Ano],OFFSET(AU$4,0,-23)),
SUMIFS(tb_Cartao_Credito_Detalhado[[Mês 25]:[Mês 25]],tb_Cartao_Credito_Detalhado[Mês/Ano],OFFSET(AU$4,0,-24)),
SUMIFS(tb_Cartao_Credito_Detalhado[[Mês 26]:[Mês 26]],tb_Cartao_Credito_Detalhado[Mês/Ano],OFFSET(AU$4,0,-25)),
SUMIFS(tb_Cartao_Credito_Detalhado[[Mês 27]:[Mês 27]],tb_Cartao_Credito_Detalhado[Mês/Ano],OFFSET(AU$4,0,-26)),
SUMIFS(tb_Cartao_Credito_Detalhado[[Mês 28]:[Mês 28]],tb_Cartao_Credito_Detalhado[Mês/Ano],OFFSET(AU$4,0,-27)),
SUMIFS(tb_Cartao_Credito_Detalhado[[Mês 29]:[Mês 29]],tb_Cartao_Credito_Detalhado[Mês/Ano],OFFSET(AU$4,0,-28)),
SUMIFS(tb_Cartao_Credito_Detalhado[[Mês 30]:[Mês 30]],tb_Cartao_Credito_Detalhado[Mês/Ano],OFFSET(AU$4,0,-29)),
SUMIFS(tb_Cartao_Credito_Detalhado[[Mês 31]:[Mês 31]],tb_Cartao_Credito_Detalhado[Mês/Ano],OFFSET(AU$4,0,-30)),
SUMIFS(tb_Cartao_Credito_Detalhado[[Mês 32]:[Mês 32]],tb_Cartao_Credito_Detalhado[Mês/Ano],OFFSET(AU$4,0,-31)),
SUMIFS(tb_Cartao_Credito_Detalhado[[Mês 33]:[Mês 33]],tb_Cartao_Credito_Detalhado[Mês/Ano],OFFSET(AU$4,0,-32)),
SUMIFS(tb_Cartao_Credito_Detalhado[[Mês 34]:[Mês 34]],tb_Cartao_Credito_Detalhado[Mês/Ano],OFFSET(AU$4,0,-33)),
SUMIFS(tb_Cartao_Credito_Detalhado[[Mês 35]:[Mês 35]],tb_Cartao_Credito_Detalhado[Mês/Ano],OFFSET(AU$4,0,-34)),
SUMIFS(tb_Cartao_Credito_Detalhado[[Mês 36]:[Mês 36]],tb_Cartao_Credito_Detalhado[Mês/Ano],OFFSET(AU$4,0,-35)),
SUMIFS(tb_Cartao_Credito_Detalhado[[Mês 37]:[Mês 37]],tb_Cartao_Credito_Detalhado[Mês/Ano],OFFSET(AU$4,0,-36)),
SUMIFS(tb_Cartao_Credito_Detalhado[[Mês 38]:[Mês 38]],tb_Cartao_Credito_Detalhado[Mês/Ano],OFFSET(AU$4,0,-37)),
SUMIFS(tb_Cartao_Credito_Detalhado[[Mês 39]:[Mês 39]],tb_Cartao_Credito_Detalhado[Mês/Ano],OFFSET(AU$4,0,-38)),
SUMIFS(tb_Cartao_Credito_Detalhado[[Mês 40]:[Mês 40]],tb_Cartao_Credito_Detalhado[Mês/Ano],OFFSET(AU$4,0,-39)),
SUMIFS(tb_Cartao_Credito_Detalhado[[Mês 41]:[Mês 41]],tb_Cartao_Credito_Detalhado[Mês/Ano],OFFSET(AU$4,0,-40)),
SUMIFS(tb_Cartao_Credito_Detalhado[[Mês 42]:[Mês 42]],tb_Cartao_Credito_Detalhado[Mês/Ano],OFFSET(AU$4,0,-41)),
SUMIFS(tb_Cartao_Credito_Detalhado[[Mês 43]:[Mês 43]],tb_Cartao_Credito_Detalhado[Mês/Ano],OFFSET(AU$4,0,-42)),
SUMIFS(tb_Cartao_Credito_Detalhado[[Mês 44]:[Mês 44]],tb_Cartao_Credito_Detalhado[Mês/Ano],OFFSET(AU$4,0,-43)),
SUMIFS(tb_Cartao_Credito_Detalhado[[Mês 45]:[Mês 45]],tb_Cartao_Credito_Detalhado[Mês/Ano],OFFSET(AU$4,0,-44)),
)</calculatedColumnFormula>
    </tableColumn>
    <tableColumn id="47" name="set-2020" dataDxfId="4">
      <calculatedColumnFormula>SUM(
SUMIFS(tb_Cartao_Credito_Detalhado[[Mês 1]:[Mês 1]],tb_Cartao_Credito_Detalhado[Mês/Ano],AV$4),
SUMIFS(tb_Cartao_Credito_Detalhado[[Mês 2]:[Mês 2]],tb_Cartao_Credito_Detalhado[Mês/Ano],OFFSET(AV$4,0,-1)),
SUMIFS(tb_Cartao_Credito_Detalhado[[Mês 3]:[Mês 3]],tb_Cartao_Credito_Detalhado[Mês/Ano],OFFSET(AV$4,0,-2)),
SUMIFS(tb_Cartao_Credito_Detalhado[[Mês 4]:[Mês 4]],tb_Cartao_Credito_Detalhado[Mês/Ano],OFFSET(AV$4,0,-3)),
SUMIFS(tb_Cartao_Credito_Detalhado[[Mês 5]:[Mês 5]],tb_Cartao_Credito_Detalhado[Mês/Ano],OFFSET(AV$4,0,-4)),
SUMIFS(tb_Cartao_Credito_Detalhado[[Mês 6]:[Mês 6]],tb_Cartao_Credito_Detalhado[Mês/Ano],OFFSET(AV$4,0,-5)),
SUMIFS(tb_Cartao_Credito_Detalhado[[Mês 7]:[Mês 7]],tb_Cartao_Credito_Detalhado[Mês/Ano],OFFSET(AV$4,0,-6)),
SUMIFS(tb_Cartao_Credito_Detalhado[[Mês 8]:[Mês 8]],tb_Cartao_Credito_Detalhado[Mês/Ano],OFFSET(AV$4,0,-7)),
SUMIFS(tb_Cartao_Credito_Detalhado[[Mês 9]:[Mês 9]],tb_Cartao_Credito_Detalhado[Mês/Ano],OFFSET(AV$4,0,-8)),
SUMIFS(tb_Cartao_Credito_Detalhado[[Mês 10]:[Mês 10]],tb_Cartao_Credito_Detalhado[Mês/Ano],OFFSET(AV$4,0,-9)),
SUMIFS(tb_Cartao_Credito_Detalhado[[Mês 11]:[Mês 11]],tb_Cartao_Credito_Detalhado[Mês/Ano],OFFSET(AV$4,0,-10)),
SUMIFS(tb_Cartao_Credito_Detalhado[[Mês 12]:[Mês 12]],tb_Cartao_Credito_Detalhado[Mês/Ano],OFFSET(AV$4,0,-11)),
SUMIFS(tb_Cartao_Credito_Detalhado[[Mês 13]:[Mês 13]],tb_Cartao_Credito_Detalhado[Mês/Ano],OFFSET(AV$4,0,-12)),
SUMIFS(tb_Cartao_Credito_Detalhado[[Mês 14]:[Mês 14]],tb_Cartao_Credito_Detalhado[Mês/Ano],OFFSET(AV$4,0,-13)),
SUMIFS(tb_Cartao_Credito_Detalhado[[Mês 15]:[Mês 15]],tb_Cartao_Credito_Detalhado[Mês/Ano],OFFSET(AV$4,0,-14)),
SUMIFS(tb_Cartao_Credito_Detalhado[[Mês 16]:[Mês 16]],tb_Cartao_Credito_Detalhado[Mês/Ano],OFFSET(AV$4,0,-15)),
SUMIFS(tb_Cartao_Credito_Detalhado[[Mês 17]:[Mês 17]],tb_Cartao_Credito_Detalhado[Mês/Ano],OFFSET(AV$4,0,-16)),
SUMIFS(tb_Cartao_Credito_Detalhado[[Mês 18]:[Mês 18]],tb_Cartao_Credito_Detalhado[Mês/Ano],OFFSET(AV$4,0,-17)),
SUMIFS(tb_Cartao_Credito_Detalhado[[Mês 19]:[Mês 19]],tb_Cartao_Credito_Detalhado[Mês/Ano],OFFSET(AV$4,0,-18)),
SUMIFS(tb_Cartao_Credito_Detalhado[[Mês 20]:[Mês 20]],tb_Cartao_Credito_Detalhado[Mês/Ano],OFFSET(AV$4,0,-19)),
SUMIFS(tb_Cartao_Credito_Detalhado[[Mês 21]:[Mês 21]],tb_Cartao_Credito_Detalhado[Mês/Ano],OFFSET(AV$4,0,-20)),
SUMIFS(tb_Cartao_Credito_Detalhado[[Mês 22]:[Mês 22]],tb_Cartao_Credito_Detalhado[Mês/Ano],OFFSET(AV$4,0,-21)),
SUMIFS(tb_Cartao_Credito_Detalhado[[Mês 23]:[Mês 23]],tb_Cartao_Credito_Detalhado[Mês/Ano],OFFSET(AV$4,0,-22)),
SUMIFS(tb_Cartao_Credito_Detalhado[[Mês 24]:[Mês 24]],tb_Cartao_Credito_Detalhado[Mês/Ano],OFFSET(AV$4,0,-23)),
SUMIFS(tb_Cartao_Credito_Detalhado[[Mês 25]:[Mês 25]],tb_Cartao_Credito_Detalhado[Mês/Ano],OFFSET(AV$4,0,-24)),
SUMIFS(tb_Cartao_Credito_Detalhado[[Mês 26]:[Mês 26]],tb_Cartao_Credito_Detalhado[Mês/Ano],OFFSET(AV$4,0,-25)),
SUMIFS(tb_Cartao_Credito_Detalhado[[Mês 27]:[Mês 27]],tb_Cartao_Credito_Detalhado[Mês/Ano],OFFSET(AV$4,0,-26)),
SUMIFS(tb_Cartao_Credito_Detalhado[[Mês 28]:[Mês 28]],tb_Cartao_Credito_Detalhado[Mês/Ano],OFFSET(AV$4,0,-27)),
SUMIFS(tb_Cartao_Credito_Detalhado[[Mês 29]:[Mês 29]],tb_Cartao_Credito_Detalhado[Mês/Ano],OFFSET(AV$4,0,-28)),
SUMIFS(tb_Cartao_Credito_Detalhado[[Mês 30]:[Mês 30]],tb_Cartao_Credito_Detalhado[Mês/Ano],OFFSET(AV$4,0,-29)),
SUMIFS(tb_Cartao_Credito_Detalhado[[Mês 31]:[Mês 31]],tb_Cartao_Credito_Detalhado[Mês/Ano],OFFSET(AV$4,0,-30)),
SUMIFS(tb_Cartao_Credito_Detalhado[[Mês 32]:[Mês 32]],tb_Cartao_Credito_Detalhado[Mês/Ano],OFFSET(AV$4,0,-31)),
SUMIFS(tb_Cartao_Credito_Detalhado[[Mês 33]:[Mês 33]],tb_Cartao_Credito_Detalhado[Mês/Ano],OFFSET(AV$4,0,-32)),
SUMIFS(tb_Cartao_Credito_Detalhado[[Mês 34]:[Mês 34]],tb_Cartao_Credito_Detalhado[Mês/Ano],OFFSET(AV$4,0,-33)),
SUMIFS(tb_Cartao_Credito_Detalhado[[Mês 35]:[Mês 35]],tb_Cartao_Credito_Detalhado[Mês/Ano],OFFSET(AV$4,0,-34)),
SUMIFS(tb_Cartao_Credito_Detalhado[[Mês 36]:[Mês 36]],tb_Cartao_Credito_Detalhado[Mês/Ano],OFFSET(AV$4,0,-35)),
SUMIFS(tb_Cartao_Credito_Detalhado[[Mês 37]:[Mês 37]],tb_Cartao_Credito_Detalhado[Mês/Ano],OFFSET(AV$4,0,-36)),
SUMIFS(tb_Cartao_Credito_Detalhado[[Mês 38]:[Mês 38]],tb_Cartao_Credito_Detalhado[Mês/Ano],OFFSET(AV$4,0,-37)),
SUMIFS(tb_Cartao_Credito_Detalhado[[Mês 39]:[Mês 39]],tb_Cartao_Credito_Detalhado[Mês/Ano],OFFSET(AV$4,0,-38)),
SUMIFS(tb_Cartao_Credito_Detalhado[[Mês 40]:[Mês 40]],tb_Cartao_Credito_Detalhado[Mês/Ano],OFFSET(AV$4,0,-39)),
SUMIFS(tb_Cartao_Credito_Detalhado[[Mês 41]:[Mês 41]],tb_Cartao_Credito_Detalhado[Mês/Ano],OFFSET(AV$4,0,-40)),
SUMIFS(tb_Cartao_Credito_Detalhado[[Mês 42]:[Mês 42]],tb_Cartao_Credito_Detalhado[Mês/Ano],OFFSET(AV$4,0,-41)),
SUMIFS(tb_Cartao_Credito_Detalhado[[Mês 43]:[Mês 43]],tb_Cartao_Credito_Detalhado[Mês/Ano],OFFSET(AV$4,0,-42)),
SUMIFS(tb_Cartao_Credito_Detalhado[[Mês 44]:[Mês 44]],tb_Cartao_Credito_Detalhado[Mês/Ano],OFFSET(AV$4,0,-43)),
SUMIFS(tb_Cartao_Credito_Detalhado[[Mês 45]:[Mês 45]],tb_Cartao_Credito_Detalhado[Mês/Ano],OFFSET(AV$4,0,-44)),
)</calculatedColumnFormula>
    </tableColumn>
    <tableColumn id="48" name="out-2020" dataDxfId="3">
      <calculatedColumnFormula>SUM(
SUMIFS(tb_Cartao_Credito_Detalhado[[Mês 1]:[Mês 1]],tb_Cartao_Credito_Detalhado[Mês/Ano],AW$4),
SUMIFS(tb_Cartao_Credito_Detalhado[[Mês 2]:[Mês 2]],tb_Cartao_Credito_Detalhado[Mês/Ano],OFFSET(AW$4,0,-1)),
SUMIFS(tb_Cartao_Credito_Detalhado[[Mês 3]:[Mês 3]],tb_Cartao_Credito_Detalhado[Mês/Ano],OFFSET(AW$4,0,-2)),
SUMIFS(tb_Cartao_Credito_Detalhado[[Mês 4]:[Mês 4]],tb_Cartao_Credito_Detalhado[Mês/Ano],OFFSET(AW$4,0,-3)),
SUMIFS(tb_Cartao_Credito_Detalhado[[Mês 5]:[Mês 5]],tb_Cartao_Credito_Detalhado[Mês/Ano],OFFSET(AW$4,0,-4)),
SUMIFS(tb_Cartao_Credito_Detalhado[[Mês 6]:[Mês 6]],tb_Cartao_Credito_Detalhado[Mês/Ano],OFFSET(AW$4,0,-5)),
SUMIFS(tb_Cartao_Credito_Detalhado[[Mês 7]:[Mês 7]],tb_Cartao_Credito_Detalhado[Mês/Ano],OFFSET(AW$4,0,-6)),
SUMIFS(tb_Cartao_Credito_Detalhado[[Mês 8]:[Mês 8]],tb_Cartao_Credito_Detalhado[Mês/Ano],OFFSET(AW$4,0,-7)),
SUMIFS(tb_Cartao_Credito_Detalhado[[Mês 9]:[Mês 9]],tb_Cartao_Credito_Detalhado[Mês/Ano],OFFSET(AW$4,0,-8)),
SUMIFS(tb_Cartao_Credito_Detalhado[[Mês 10]:[Mês 10]],tb_Cartao_Credito_Detalhado[Mês/Ano],OFFSET(AW$4,0,-9)),
SUMIFS(tb_Cartao_Credito_Detalhado[[Mês 11]:[Mês 11]],tb_Cartao_Credito_Detalhado[Mês/Ano],OFFSET(AW$4,0,-10)),
SUMIFS(tb_Cartao_Credito_Detalhado[[Mês 12]:[Mês 12]],tb_Cartao_Credito_Detalhado[Mês/Ano],OFFSET(AW$4,0,-11)),
SUMIFS(tb_Cartao_Credito_Detalhado[[Mês 13]:[Mês 13]],tb_Cartao_Credito_Detalhado[Mês/Ano],OFFSET(AW$4,0,-12)),
SUMIFS(tb_Cartao_Credito_Detalhado[[Mês 14]:[Mês 14]],tb_Cartao_Credito_Detalhado[Mês/Ano],OFFSET(AW$4,0,-13)),
SUMIFS(tb_Cartao_Credito_Detalhado[[Mês 15]:[Mês 15]],tb_Cartao_Credito_Detalhado[Mês/Ano],OFFSET(AW$4,0,-14)),
SUMIFS(tb_Cartao_Credito_Detalhado[[Mês 16]:[Mês 16]],tb_Cartao_Credito_Detalhado[Mês/Ano],OFFSET(AW$4,0,-15)),
SUMIFS(tb_Cartao_Credito_Detalhado[[Mês 17]:[Mês 17]],tb_Cartao_Credito_Detalhado[Mês/Ano],OFFSET(AW$4,0,-16)),
SUMIFS(tb_Cartao_Credito_Detalhado[[Mês 18]:[Mês 18]],tb_Cartao_Credito_Detalhado[Mês/Ano],OFFSET(AW$4,0,-17)),
SUMIFS(tb_Cartao_Credito_Detalhado[[Mês 19]:[Mês 19]],tb_Cartao_Credito_Detalhado[Mês/Ano],OFFSET(AW$4,0,-18)),
SUMIFS(tb_Cartao_Credito_Detalhado[[Mês 20]:[Mês 20]],tb_Cartao_Credito_Detalhado[Mês/Ano],OFFSET(AW$4,0,-19)),
SUMIFS(tb_Cartao_Credito_Detalhado[[Mês 21]:[Mês 21]],tb_Cartao_Credito_Detalhado[Mês/Ano],OFFSET(AW$4,0,-20)),
SUMIFS(tb_Cartao_Credito_Detalhado[[Mês 22]:[Mês 22]],tb_Cartao_Credito_Detalhado[Mês/Ano],OFFSET(AW$4,0,-21)),
SUMIFS(tb_Cartao_Credito_Detalhado[[Mês 23]:[Mês 23]],tb_Cartao_Credito_Detalhado[Mês/Ano],OFFSET(AW$4,0,-22)),
SUMIFS(tb_Cartao_Credito_Detalhado[[Mês 24]:[Mês 24]],tb_Cartao_Credito_Detalhado[Mês/Ano],OFFSET(AW$4,0,-23)),
SUMIFS(tb_Cartao_Credito_Detalhado[[Mês 25]:[Mês 25]],tb_Cartao_Credito_Detalhado[Mês/Ano],OFFSET(AW$4,0,-24)),
SUMIFS(tb_Cartao_Credito_Detalhado[[Mês 26]:[Mês 26]],tb_Cartao_Credito_Detalhado[Mês/Ano],OFFSET(AW$4,0,-25)),
SUMIFS(tb_Cartao_Credito_Detalhado[[Mês 27]:[Mês 27]],tb_Cartao_Credito_Detalhado[Mês/Ano],OFFSET(AW$4,0,-26)),
SUMIFS(tb_Cartao_Credito_Detalhado[[Mês 28]:[Mês 28]],tb_Cartao_Credito_Detalhado[Mês/Ano],OFFSET(AW$4,0,-27)),
SUMIFS(tb_Cartao_Credito_Detalhado[[Mês 29]:[Mês 29]],tb_Cartao_Credito_Detalhado[Mês/Ano],OFFSET(AW$4,0,-28)),
SUMIFS(tb_Cartao_Credito_Detalhado[[Mês 30]:[Mês 30]],tb_Cartao_Credito_Detalhado[Mês/Ano],OFFSET(AW$4,0,-29)),
SUMIFS(tb_Cartao_Credito_Detalhado[[Mês 31]:[Mês 31]],tb_Cartao_Credito_Detalhado[Mês/Ano],OFFSET(AW$4,0,-30)),
SUMIFS(tb_Cartao_Credito_Detalhado[[Mês 32]:[Mês 32]],tb_Cartao_Credito_Detalhado[Mês/Ano],OFFSET(AW$4,0,-31)),
SUMIFS(tb_Cartao_Credito_Detalhado[[Mês 33]:[Mês 33]],tb_Cartao_Credito_Detalhado[Mês/Ano],OFFSET(AW$4,0,-32)),
SUMIFS(tb_Cartao_Credito_Detalhado[[Mês 34]:[Mês 34]],tb_Cartao_Credito_Detalhado[Mês/Ano],OFFSET(AW$4,0,-33)),
SUMIFS(tb_Cartao_Credito_Detalhado[[Mês 35]:[Mês 35]],tb_Cartao_Credito_Detalhado[Mês/Ano],OFFSET(AW$4,0,-34)),
SUMIFS(tb_Cartao_Credito_Detalhado[[Mês 36]:[Mês 36]],tb_Cartao_Credito_Detalhado[Mês/Ano],OFFSET(AW$4,0,-35)),
SUMIFS(tb_Cartao_Credito_Detalhado[[Mês 37]:[Mês 37]],tb_Cartao_Credito_Detalhado[Mês/Ano],OFFSET(AW$4,0,-36)),
SUMIFS(tb_Cartao_Credito_Detalhado[[Mês 38]:[Mês 38]],tb_Cartao_Credito_Detalhado[Mês/Ano],OFFSET(AW$4,0,-37)),
SUMIFS(tb_Cartao_Credito_Detalhado[[Mês 39]:[Mês 39]],tb_Cartao_Credito_Detalhado[Mês/Ano],OFFSET(AW$4,0,-38)),
SUMIFS(tb_Cartao_Credito_Detalhado[[Mês 40]:[Mês 40]],tb_Cartao_Credito_Detalhado[Mês/Ano],OFFSET(AW$4,0,-39)),
SUMIFS(tb_Cartao_Credito_Detalhado[[Mês 41]:[Mês 41]],tb_Cartao_Credito_Detalhado[Mês/Ano],OFFSET(AW$4,0,-40)),
SUMIFS(tb_Cartao_Credito_Detalhado[[Mês 42]:[Mês 42]],tb_Cartao_Credito_Detalhado[Mês/Ano],OFFSET(AW$4,0,-41)),
SUMIFS(tb_Cartao_Credito_Detalhado[[Mês 43]:[Mês 43]],tb_Cartao_Credito_Detalhado[Mês/Ano],OFFSET(AW$4,0,-42)),
SUMIFS(tb_Cartao_Credito_Detalhado[[Mês 44]:[Mês 44]],tb_Cartao_Credito_Detalhado[Mês/Ano],OFFSET(AW$4,0,-43)),
SUMIFS(tb_Cartao_Credito_Detalhado[[Mês 45]:[Mês 45]],tb_Cartao_Credito_Detalhado[Mês/Ano],OFFSET(AW$4,0,-44)),
)</calculatedColumnFormula>
    </tableColumn>
    <tableColumn id="49" name="nov-2020" dataDxfId="2">
      <calculatedColumnFormula>SUM(
SUMIFS(tb_Cartao_Credito_Detalhado[[Mês 1]:[Mês 1]],tb_Cartao_Credito_Detalhado[Mês/Ano],AX$4),
SUMIFS(tb_Cartao_Credito_Detalhado[[Mês 2]:[Mês 2]],tb_Cartao_Credito_Detalhado[Mês/Ano],OFFSET(AX$4,0,-1)),
SUMIFS(tb_Cartao_Credito_Detalhado[[Mês 3]:[Mês 3]],tb_Cartao_Credito_Detalhado[Mês/Ano],OFFSET(AX$4,0,-2)),
SUMIFS(tb_Cartao_Credito_Detalhado[[Mês 4]:[Mês 4]],tb_Cartao_Credito_Detalhado[Mês/Ano],OFFSET(AX$4,0,-3)),
SUMIFS(tb_Cartao_Credito_Detalhado[[Mês 5]:[Mês 5]],tb_Cartao_Credito_Detalhado[Mês/Ano],OFFSET(AX$4,0,-4)),
SUMIFS(tb_Cartao_Credito_Detalhado[[Mês 6]:[Mês 6]],tb_Cartao_Credito_Detalhado[Mês/Ano],OFFSET(AX$4,0,-5)),
SUMIFS(tb_Cartao_Credito_Detalhado[[Mês 7]:[Mês 7]],tb_Cartao_Credito_Detalhado[Mês/Ano],OFFSET(AX$4,0,-6)),
SUMIFS(tb_Cartao_Credito_Detalhado[[Mês 8]:[Mês 8]],tb_Cartao_Credito_Detalhado[Mês/Ano],OFFSET(AX$4,0,-7)),
SUMIFS(tb_Cartao_Credito_Detalhado[[Mês 9]:[Mês 9]],tb_Cartao_Credito_Detalhado[Mês/Ano],OFFSET(AX$4,0,-8)),
SUMIFS(tb_Cartao_Credito_Detalhado[[Mês 10]:[Mês 10]],tb_Cartao_Credito_Detalhado[Mês/Ano],OFFSET(AX$4,0,-9)),
SUMIFS(tb_Cartao_Credito_Detalhado[[Mês 11]:[Mês 11]],tb_Cartao_Credito_Detalhado[Mês/Ano],OFFSET(AX$4,0,-10)),
SUMIFS(tb_Cartao_Credito_Detalhado[[Mês 12]:[Mês 12]],tb_Cartao_Credito_Detalhado[Mês/Ano],OFFSET(AX$4,0,-11)),
SUMIFS(tb_Cartao_Credito_Detalhado[[Mês 13]:[Mês 13]],tb_Cartao_Credito_Detalhado[Mês/Ano],OFFSET(AX$4,0,-12)),
SUMIFS(tb_Cartao_Credito_Detalhado[[Mês 14]:[Mês 14]],tb_Cartao_Credito_Detalhado[Mês/Ano],OFFSET(AX$4,0,-13)),
SUMIFS(tb_Cartao_Credito_Detalhado[[Mês 15]:[Mês 15]],tb_Cartao_Credito_Detalhado[Mês/Ano],OFFSET(AX$4,0,-14)),
SUMIFS(tb_Cartao_Credito_Detalhado[[Mês 16]:[Mês 16]],tb_Cartao_Credito_Detalhado[Mês/Ano],OFFSET(AX$4,0,-15)),
SUMIFS(tb_Cartao_Credito_Detalhado[[Mês 17]:[Mês 17]],tb_Cartao_Credito_Detalhado[Mês/Ano],OFFSET(AX$4,0,-16)),
SUMIFS(tb_Cartao_Credito_Detalhado[[Mês 18]:[Mês 18]],tb_Cartao_Credito_Detalhado[Mês/Ano],OFFSET(AX$4,0,-17)),
SUMIFS(tb_Cartao_Credito_Detalhado[[Mês 19]:[Mês 19]],tb_Cartao_Credito_Detalhado[Mês/Ano],OFFSET(AX$4,0,-18)),
SUMIFS(tb_Cartao_Credito_Detalhado[[Mês 20]:[Mês 20]],tb_Cartao_Credito_Detalhado[Mês/Ano],OFFSET(AX$4,0,-19)),
SUMIFS(tb_Cartao_Credito_Detalhado[[Mês 21]:[Mês 21]],tb_Cartao_Credito_Detalhado[Mês/Ano],OFFSET(AX$4,0,-20)),
SUMIFS(tb_Cartao_Credito_Detalhado[[Mês 22]:[Mês 22]],tb_Cartao_Credito_Detalhado[Mês/Ano],OFFSET(AX$4,0,-21)),
SUMIFS(tb_Cartao_Credito_Detalhado[[Mês 23]:[Mês 23]],tb_Cartao_Credito_Detalhado[Mês/Ano],OFFSET(AX$4,0,-22)),
SUMIFS(tb_Cartao_Credito_Detalhado[[Mês 24]:[Mês 24]],tb_Cartao_Credito_Detalhado[Mês/Ano],OFFSET(AX$4,0,-23)),
SUMIFS(tb_Cartao_Credito_Detalhado[[Mês 25]:[Mês 25]],tb_Cartao_Credito_Detalhado[Mês/Ano],OFFSET(AX$4,0,-24)),
SUMIFS(tb_Cartao_Credito_Detalhado[[Mês 26]:[Mês 26]],tb_Cartao_Credito_Detalhado[Mês/Ano],OFFSET(AX$4,0,-25)),
SUMIFS(tb_Cartao_Credito_Detalhado[[Mês 27]:[Mês 27]],tb_Cartao_Credito_Detalhado[Mês/Ano],OFFSET(AX$4,0,-26)),
SUMIFS(tb_Cartao_Credito_Detalhado[[Mês 28]:[Mês 28]],tb_Cartao_Credito_Detalhado[Mês/Ano],OFFSET(AX$4,0,-27)),
SUMIFS(tb_Cartao_Credito_Detalhado[[Mês 29]:[Mês 29]],tb_Cartao_Credito_Detalhado[Mês/Ano],OFFSET(AX$4,0,-28)),
SUMIFS(tb_Cartao_Credito_Detalhado[[Mês 30]:[Mês 30]],tb_Cartao_Credito_Detalhado[Mês/Ano],OFFSET(AX$4,0,-29)),
SUMIFS(tb_Cartao_Credito_Detalhado[[Mês 31]:[Mês 31]],tb_Cartao_Credito_Detalhado[Mês/Ano],OFFSET(AX$4,0,-30)),
SUMIFS(tb_Cartao_Credito_Detalhado[[Mês 32]:[Mês 32]],tb_Cartao_Credito_Detalhado[Mês/Ano],OFFSET(AX$4,0,-31)),
SUMIFS(tb_Cartao_Credito_Detalhado[[Mês 33]:[Mês 33]],tb_Cartao_Credito_Detalhado[Mês/Ano],OFFSET(AX$4,0,-32)),
SUMIFS(tb_Cartao_Credito_Detalhado[[Mês 34]:[Mês 34]],tb_Cartao_Credito_Detalhado[Mês/Ano],OFFSET(AX$4,0,-33)),
SUMIFS(tb_Cartao_Credito_Detalhado[[Mês 35]:[Mês 35]],tb_Cartao_Credito_Detalhado[Mês/Ano],OFFSET(AX$4,0,-34)),
SUMIFS(tb_Cartao_Credito_Detalhado[[Mês 36]:[Mês 36]],tb_Cartao_Credito_Detalhado[Mês/Ano],OFFSET(AX$4,0,-35)),
SUMIFS(tb_Cartao_Credito_Detalhado[[Mês 37]:[Mês 37]],tb_Cartao_Credito_Detalhado[Mês/Ano],OFFSET(AX$4,0,-36)),
SUMIFS(tb_Cartao_Credito_Detalhado[[Mês 38]:[Mês 38]],tb_Cartao_Credito_Detalhado[Mês/Ano],OFFSET(AX$4,0,-37)),
SUMIFS(tb_Cartao_Credito_Detalhado[[Mês 39]:[Mês 39]],tb_Cartao_Credito_Detalhado[Mês/Ano],OFFSET(AX$4,0,-38)),
SUMIFS(tb_Cartao_Credito_Detalhado[[Mês 40]:[Mês 40]],tb_Cartao_Credito_Detalhado[Mês/Ano],OFFSET(AX$4,0,-39)),
SUMIFS(tb_Cartao_Credito_Detalhado[[Mês 41]:[Mês 41]],tb_Cartao_Credito_Detalhado[Mês/Ano],OFFSET(AX$4,0,-40)),
SUMIFS(tb_Cartao_Credito_Detalhado[[Mês 42]:[Mês 42]],tb_Cartao_Credito_Detalhado[Mês/Ano],OFFSET(AX$4,0,-41)),
SUMIFS(tb_Cartao_Credito_Detalhado[[Mês 43]:[Mês 43]],tb_Cartao_Credito_Detalhado[Mês/Ano],OFFSET(AX$4,0,-42)),
SUMIFS(tb_Cartao_Credito_Detalhado[[Mês 44]:[Mês 44]],tb_Cartao_Credito_Detalhado[Mês/Ano],OFFSET(AX$4,0,-43)),
SUMIFS(tb_Cartao_Credito_Detalhado[[Mês 45]:[Mês 45]],tb_Cartao_Credito_Detalhado[Mês/Ano],OFFSET(AX$4,0,-44)),
)</calculatedColumnFormula>
    </tableColumn>
    <tableColumn id="50" name="dez-2020" dataDxfId="1">
      <calculatedColumnFormula>SUM(
SUMIFS(tb_Cartao_Credito_Detalhado[[Mês 1]:[Mês 1]],tb_Cartao_Credito_Detalhado[Mês/Ano],AY$4),
SUMIFS(tb_Cartao_Credito_Detalhado[[Mês 2]:[Mês 2]],tb_Cartao_Credito_Detalhado[Mês/Ano],OFFSET(AY$4,0,-1)),
SUMIFS(tb_Cartao_Credito_Detalhado[[Mês 3]:[Mês 3]],tb_Cartao_Credito_Detalhado[Mês/Ano],OFFSET(AY$4,0,-2)),
SUMIFS(tb_Cartao_Credito_Detalhado[[Mês 4]:[Mês 4]],tb_Cartao_Credito_Detalhado[Mês/Ano],OFFSET(AY$4,0,-3)),
SUMIFS(tb_Cartao_Credito_Detalhado[[Mês 5]:[Mês 5]],tb_Cartao_Credito_Detalhado[Mês/Ano],OFFSET(AY$4,0,-4)),
SUMIFS(tb_Cartao_Credito_Detalhado[[Mês 6]:[Mês 6]],tb_Cartao_Credito_Detalhado[Mês/Ano],OFFSET(AY$4,0,-5)),
SUMIFS(tb_Cartao_Credito_Detalhado[[Mês 7]:[Mês 7]],tb_Cartao_Credito_Detalhado[Mês/Ano],OFFSET(AY$4,0,-6)),
SUMIFS(tb_Cartao_Credito_Detalhado[[Mês 8]:[Mês 8]],tb_Cartao_Credito_Detalhado[Mês/Ano],OFFSET(AY$4,0,-7)),
SUMIFS(tb_Cartao_Credito_Detalhado[[Mês 9]:[Mês 9]],tb_Cartao_Credito_Detalhado[Mês/Ano],OFFSET(AY$4,0,-8)),
SUMIFS(tb_Cartao_Credito_Detalhado[[Mês 10]:[Mês 10]],tb_Cartao_Credito_Detalhado[Mês/Ano],OFFSET(AY$4,0,-9)),
SUMIFS(tb_Cartao_Credito_Detalhado[[Mês 11]:[Mês 11]],tb_Cartao_Credito_Detalhado[Mês/Ano],OFFSET(AY$4,0,-10)),
SUMIFS(tb_Cartao_Credito_Detalhado[[Mês 12]:[Mês 12]],tb_Cartao_Credito_Detalhado[Mês/Ano],OFFSET(AY$4,0,-11)),
SUMIFS(tb_Cartao_Credito_Detalhado[[Mês 13]:[Mês 13]],tb_Cartao_Credito_Detalhado[Mês/Ano],OFFSET(AY$4,0,-12)),
SUMIFS(tb_Cartao_Credito_Detalhado[[Mês 14]:[Mês 14]],tb_Cartao_Credito_Detalhado[Mês/Ano],OFFSET(AY$4,0,-13)),
SUMIFS(tb_Cartao_Credito_Detalhado[[Mês 15]:[Mês 15]],tb_Cartao_Credito_Detalhado[Mês/Ano],OFFSET(AY$4,0,-14)),
SUMIFS(tb_Cartao_Credito_Detalhado[[Mês 16]:[Mês 16]],tb_Cartao_Credito_Detalhado[Mês/Ano],OFFSET(AY$4,0,-15)),
SUMIFS(tb_Cartao_Credito_Detalhado[[Mês 17]:[Mês 17]],tb_Cartao_Credito_Detalhado[Mês/Ano],OFFSET(AY$4,0,-16)),
SUMIFS(tb_Cartao_Credito_Detalhado[[Mês 18]:[Mês 18]],tb_Cartao_Credito_Detalhado[Mês/Ano],OFFSET(AY$4,0,-17)),
SUMIFS(tb_Cartao_Credito_Detalhado[[Mês 19]:[Mês 19]],tb_Cartao_Credito_Detalhado[Mês/Ano],OFFSET(AY$4,0,-18)),
SUMIFS(tb_Cartao_Credito_Detalhado[[Mês 20]:[Mês 20]],tb_Cartao_Credito_Detalhado[Mês/Ano],OFFSET(AY$4,0,-19)),
SUMIFS(tb_Cartao_Credito_Detalhado[[Mês 21]:[Mês 21]],tb_Cartao_Credito_Detalhado[Mês/Ano],OFFSET(AY$4,0,-20)),
SUMIFS(tb_Cartao_Credito_Detalhado[[Mês 22]:[Mês 22]],tb_Cartao_Credito_Detalhado[Mês/Ano],OFFSET(AY$4,0,-21)),
SUMIFS(tb_Cartao_Credito_Detalhado[[Mês 23]:[Mês 23]],tb_Cartao_Credito_Detalhado[Mês/Ano],OFFSET(AY$4,0,-22)),
SUMIFS(tb_Cartao_Credito_Detalhado[[Mês 24]:[Mês 24]],tb_Cartao_Credito_Detalhado[Mês/Ano],OFFSET(AY$4,0,-23)),
SUMIFS(tb_Cartao_Credito_Detalhado[[Mês 25]:[Mês 25]],tb_Cartao_Credito_Detalhado[Mês/Ano],OFFSET(AY$4,0,-24)),
SUMIFS(tb_Cartao_Credito_Detalhado[[Mês 26]:[Mês 26]],tb_Cartao_Credito_Detalhado[Mês/Ano],OFFSET(AY$4,0,-25)),
SUMIFS(tb_Cartao_Credito_Detalhado[[Mês 27]:[Mês 27]],tb_Cartao_Credito_Detalhado[Mês/Ano],OFFSET(AY$4,0,-26)),
SUMIFS(tb_Cartao_Credito_Detalhado[[Mês 28]:[Mês 28]],tb_Cartao_Credito_Detalhado[Mês/Ano],OFFSET(AY$4,0,-27)),
SUMIFS(tb_Cartao_Credito_Detalhado[[Mês 29]:[Mês 29]],tb_Cartao_Credito_Detalhado[Mês/Ano],OFFSET(AY$4,0,-28)),
SUMIFS(tb_Cartao_Credito_Detalhado[[Mês 30]:[Mês 30]],tb_Cartao_Credito_Detalhado[Mês/Ano],OFFSET(AY$4,0,-29)),
SUMIFS(tb_Cartao_Credito_Detalhado[[Mês 31]:[Mês 31]],tb_Cartao_Credito_Detalhado[Mês/Ano],OFFSET(AY$4,0,-30)),
SUMIFS(tb_Cartao_Credito_Detalhado[[Mês 32]:[Mês 32]],tb_Cartao_Credito_Detalhado[Mês/Ano],OFFSET(AY$4,0,-31)),
SUMIFS(tb_Cartao_Credito_Detalhado[[Mês 33]:[Mês 33]],tb_Cartao_Credito_Detalhado[Mês/Ano],OFFSET(AY$4,0,-32)),
SUMIFS(tb_Cartao_Credito_Detalhado[[Mês 34]:[Mês 34]],tb_Cartao_Credito_Detalhado[Mês/Ano],OFFSET(AY$4,0,-33)),
SUMIFS(tb_Cartao_Credito_Detalhado[[Mês 35]:[Mês 35]],tb_Cartao_Credito_Detalhado[Mês/Ano],OFFSET(AY$4,0,-34)),
SUMIFS(tb_Cartao_Credito_Detalhado[[Mês 36]:[Mês 36]],tb_Cartao_Credito_Detalhado[Mês/Ano],OFFSET(AY$4,0,-35)),
SUMIFS(tb_Cartao_Credito_Detalhado[[Mês 37]:[Mês 37]],tb_Cartao_Credito_Detalhado[Mês/Ano],OFFSET(AY$4,0,-36)),
SUMIFS(tb_Cartao_Credito_Detalhado[[Mês 38]:[Mês 38]],tb_Cartao_Credito_Detalhado[Mês/Ano],OFFSET(AY$4,0,-37)),
SUMIFS(tb_Cartao_Credito_Detalhado[[Mês 39]:[Mês 39]],tb_Cartao_Credito_Detalhado[Mês/Ano],OFFSET(AY$4,0,-38)),
SUMIFS(tb_Cartao_Credito_Detalhado[[Mês 40]:[Mês 40]],tb_Cartao_Credito_Detalhado[Mês/Ano],OFFSET(AY$4,0,-39)),
SUMIFS(tb_Cartao_Credito_Detalhado[[Mês 41]:[Mês 41]],tb_Cartao_Credito_Detalhado[Mês/Ano],OFFSET(AY$4,0,-40)),
SUMIFS(tb_Cartao_Credito_Detalhado[[Mês 42]:[Mês 42]],tb_Cartao_Credito_Detalhado[Mês/Ano],OFFSET(AY$4,0,-41)),
SUMIFS(tb_Cartao_Credito_Detalhado[[Mês 43]:[Mês 43]],tb_Cartao_Credito_Detalhado[Mês/Ano],OFFSET(AY$4,0,-42)),
SUMIFS(tb_Cartao_Credito_Detalhado[[Mês 44]:[Mês 44]],tb_Cartao_Credito_Detalhado[Mês/Ano],OFFSET(AY$4,0,-43)),
SUMIFS(tb_Cartao_Credito_Detalhado[[Mês 45]:[Mês 45]],tb_Cartao_Credito_Detalhado[Mês/Ano],OFFSET(AY$4,0,-44)),
)</calculatedColumnFormula>
    </tableColumn>
    <tableColumn id="51" name="jan-2021" dataDxfId="0">
      <calculatedColumnFormula>SUM(
SUMIFS(tb_Cartao_Credito_Detalhado[[Mês 1]:[Mês 1]],tb_Cartao_Credito_Detalhado[Mês/Ano],AZ$4),
SUMIFS(tb_Cartao_Credito_Detalhado[[Mês 2]:[Mês 2]],tb_Cartao_Credito_Detalhado[Mês/Ano],OFFSET(AZ$4,0,-1)),
SUMIFS(tb_Cartao_Credito_Detalhado[[Mês 3]:[Mês 3]],tb_Cartao_Credito_Detalhado[Mês/Ano],OFFSET(AZ$4,0,-2)),
SUMIFS(tb_Cartao_Credito_Detalhado[[Mês 4]:[Mês 4]],tb_Cartao_Credito_Detalhado[Mês/Ano],OFFSET(AZ$4,0,-3)),
SUMIFS(tb_Cartao_Credito_Detalhado[[Mês 5]:[Mês 5]],tb_Cartao_Credito_Detalhado[Mês/Ano],OFFSET(AZ$4,0,-4)),
SUMIFS(tb_Cartao_Credito_Detalhado[[Mês 6]:[Mês 6]],tb_Cartao_Credito_Detalhado[Mês/Ano],OFFSET(AZ$4,0,-5)),
SUMIFS(tb_Cartao_Credito_Detalhado[[Mês 7]:[Mês 7]],tb_Cartao_Credito_Detalhado[Mês/Ano],OFFSET(AZ$4,0,-6)),
SUMIFS(tb_Cartao_Credito_Detalhado[[Mês 8]:[Mês 8]],tb_Cartao_Credito_Detalhado[Mês/Ano],OFFSET(AZ$4,0,-7)),
SUMIFS(tb_Cartao_Credito_Detalhado[[Mês 9]:[Mês 9]],tb_Cartao_Credito_Detalhado[Mês/Ano],OFFSET(AZ$4,0,-8)),
SUMIFS(tb_Cartao_Credito_Detalhado[[Mês 10]:[Mês 10]],tb_Cartao_Credito_Detalhado[Mês/Ano],OFFSET(AZ$4,0,-9)),
SUMIFS(tb_Cartao_Credito_Detalhado[[Mês 11]:[Mês 11]],tb_Cartao_Credito_Detalhado[Mês/Ano],OFFSET(AZ$4,0,-10)),
SUMIFS(tb_Cartao_Credito_Detalhado[[Mês 12]:[Mês 12]],tb_Cartao_Credito_Detalhado[Mês/Ano],OFFSET(AZ$4,0,-11)),
SUMIFS(tb_Cartao_Credito_Detalhado[[Mês 13]:[Mês 13]],tb_Cartao_Credito_Detalhado[Mês/Ano],OFFSET(AZ$4,0,-12)),
SUMIFS(tb_Cartao_Credito_Detalhado[[Mês 14]:[Mês 14]],tb_Cartao_Credito_Detalhado[Mês/Ano],OFFSET(AZ$4,0,-13)),
SUMIFS(tb_Cartao_Credito_Detalhado[[Mês 15]:[Mês 15]],tb_Cartao_Credito_Detalhado[Mês/Ano],OFFSET(AZ$4,0,-14)),
SUMIFS(tb_Cartao_Credito_Detalhado[[Mês 16]:[Mês 16]],tb_Cartao_Credito_Detalhado[Mês/Ano],OFFSET(AZ$4,0,-15)),
SUMIFS(tb_Cartao_Credito_Detalhado[[Mês 17]:[Mês 17]],tb_Cartao_Credito_Detalhado[Mês/Ano],OFFSET(AZ$4,0,-16)),
SUMIFS(tb_Cartao_Credito_Detalhado[[Mês 18]:[Mês 18]],tb_Cartao_Credito_Detalhado[Mês/Ano],OFFSET(AZ$4,0,-17)),
SUMIFS(tb_Cartao_Credito_Detalhado[[Mês 19]:[Mês 19]],tb_Cartao_Credito_Detalhado[Mês/Ano],OFFSET(AZ$4,0,-18)),
SUMIFS(tb_Cartao_Credito_Detalhado[[Mês 20]:[Mês 20]],tb_Cartao_Credito_Detalhado[Mês/Ano],OFFSET(AZ$4,0,-19)),
SUMIFS(tb_Cartao_Credito_Detalhado[[Mês 21]:[Mês 21]],tb_Cartao_Credito_Detalhado[Mês/Ano],OFFSET(AZ$4,0,-20)),
SUMIFS(tb_Cartao_Credito_Detalhado[[Mês 22]:[Mês 22]],tb_Cartao_Credito_Detalhado[Mês/Ano],OFFSET(AZ$4,0,-21)),
SUMIFS(tb_Cartao_Credito_Detalhado[[Mês 23]:[Mês 23]],tb_Cartao_Credito_Detalhado[Mês/Ano],OFFSET(AZ$4,0,-22)),
SUMIFS(tb_Cartao_Credito_Detalhado[[Mês 24]:[Mês 24]],tb_Cartao_Credito_Detalhado[Mês/Ano],OFFSET(AZ$4,0,-23)),
SUMIFS(tb_Cartao_Credito_Detalhado[[Mês 25]:[Mês 25]],tb_Cartao_Credito_Detalhado[Mês/Ano],OFFSET(AZ$4,0,-24)),
SUMIFS(tb_Cartao_Credito_Detalhado[[Mês 26]:[Mês 26]],tb_Cartao_Credito_Detalhado[Mês/Ano],OFFSET(AZ$4,0,-25)),
SUMIFS(tb_Cartao_Credito_Detalhado[[Mês 27]:[Mês 27]],tb_Cartao_Credito_Detalhado[Mês/Ano],OFFSET(AZ$4,0,-26)),
SUMIFS(tb_Cartao_Credito_Detalhado[[Mês 28]:[Mês 28]],tb_Cartao_Credito_Detalhado[Mês/Ano],OFFSET(AZ$4,0,-27)),
SUMIFS(tb_Cartao_Credito_Detalhado[[Mês 29]:[Mês 29]],tb_Cartao_Credito_Detalhado[Mês/Ano],OFFSET(AZ$4,0,-28)),
SUMIFS(tb_Cartao_Credito_Detalhado[[Mês 30]:[Mês 30]],tb_Cartao_Credito_Detalhado[Mês/Ano],OFFSET(AZ$4,0,-29)),
SUMIFS(tb_Cartao_Credito_Detalhado[[Mês 31]:[Mês 31]],tb_Cartao_Credito_Detalhado[Mês/Ano],OFFSET(AZ$4,0,-30)),
SUMIFS(tb_Cartao_Credito_Detalhado[[Mês 32]:[Mês 32]],tb_Cartao_Credito_Detalhado[Mês/Ano],OFFSET(AZ$4,0,-31)),
SUMIFS(tb_Cartao_Credito_Detalhado[[Mês 33]:[Mês 33]],tb_Cartao_Credito_Detalhado[Mês/Ano],OFFSET(AZ$4,0,-32)),
SUMIFS(tb_Cartao_Credito_Detalhado[[Mês 34]:[Mês 34]],tb_Cartao_Credito_Detalhado[Mês/Ano],OFFSET(AZ$4,0,-33)),
SUMIFS(tb_Cartao_Credito_Detalhado[[Mês 35]:[Mês 35]],tb_Cartao_Credito_Detalhado[Mês/Ano],OFFSET(AZ$4,0,-34)),
SUMIFS(tb_Cartao_Credito_Detalhado[[Mês 36]:[Mês 36]],tb_Cartao_Credito_Detalhado[Mês/Ano],OFFSET(AZ$4,0,-35)),
SUMIFS(tb_Cartao_Credito_Detalhado[[Mês 37]:[Mês 37]],tb_Cartao_Credito_Detalhado[Mês/Ano],OFFSET(AZ$4,0,-36)),
SUMIFS(tb_Cartao_Credito_Detalhado[[Mês 38]:[Mês 38]],tb_Cartao_Credito_Detalhado[Mês/Ano],OFFSET(AZ$4,0,-37)),
SUMIFS(tb_Cartao_Credito_Detalhado[[Mês 39]:[Mês 39]],tb_Cartao_Credito_Detalhado[Mês/Ano],OFFSET(AZ$4,0,-38)),
SUMIFS(tb_Cartao_Credito_Detalhado[[Mês 40]:[Mês 40]],tb_Cartao_Credito_Detalhado[Mês/Ano],OFFSET(AZ$4,0,-39)),
SUMIFS(tb_Cartao_Credito_Detalhado[[Mês 41]:[Mês 41]],tb_Cartao_Credito_Detalhado[Mês/Ano],OFFSET(AZ$4,0,-40)),
SUMIFS(tb_Cartao_Credito_Detalhado[[Mês 42]:[Mês 42]],tb_Cartao_Credito_Detalhado[Mês/Ano],OFFSET(AZ$4,0,-41)),
SUMIFS(tb_Cartao_Credito_Detalhado[[Mês 43]:[Mês 43]],tb_Cartao_Credito_Detalhado[Mês/Ano],OFFSET(AZ$4,0,-42)),
SUMIFS(tb_Cartao_Credito_Detalhado[[Mês 44]:[Mês 44]],tb_Cartao_Credito_Detalhado[Mês/Ano],OFFSET(AZ$4,0,-43)),
SUMIFS(tb_Cartao_Credito_Detalhado[[Mês 45]:[Mês 45]],tb_Cartao_Credito_Detalhado[Mês/Ano],OFFSET(AZ$4,0,-44)),
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</sheetPr>
  <dimension ref="A1:C11"/>
  <sheetViews>
    <sheetView showGridLines="0" workbookViewId="0"/>
  </sheetViews>
  <sheetFormatPr defaultRowHeight="15" x14ac:dyDescent="0.25"/>
  <cols>
    <col min="1" max="1" width="4.28515625" bestFit="1" customWidth="1"/>
    <col min="2" max="2" width="61" bestFit="1" customWidth="1"/>
  </cols>
  <sheetData>
    <row r="1" spans="1:3" x14ac:dyDescent="0.25">
      <c r="A1" s="1" t="s">
        <v>1</v>
      </c>
      <c r="B1" s="1" t="s">
        <v>0</v>
      </c>
      <c r="C1" s="1" t="s">
        <v>2</v>
      </c>
    </row>
    <row r="2" spans="1:3" x14ac:dyDescent="0.25">
      <c r="A2" s="2">
        <f t="shared" ref="A2:A11" ca="1" si="0">IF(ISNUMBER(OFFSET(A2,-1,0)),OFFSET(A2,-1,0)+1,1)</f>
        <v>1</v>
      </c>
      <c r="B2" s="3" t="s">
        <v>3</v>
      </c>
      <c r="C2" s="2"/>
    </row>
    <row r="3" spans="1:3" x14ac:dyDescent="0.25">
      <c r="A3" s="2">
        <f t="shared" ca="1" si="0"/>
        <v>2</v>
      </c>
      <c r="B3" s="3" t="s">
        <v>4</v>
      </c>
      <c r="C3" s="2"/>
    </row>
    <row r="4" spans="1:3" x14ac:dyDescent="0.25">
      <c r="A4" s="2">
        <f t="shared" ca="1" si="0"/>
        <v>3</v>
      </c>
      <c r="B4" s="3" t="s">
        <v>5</v>
      </c>
      <c r="C4" s="2"/>
    </row>
    <row r="5" spans="1:3" x14ac:dyDescent="0.25">
      <c r="A5" s="2">
        <f t="shared" ca="1" si="0"/>
        <v>4</v>
      </c>
      <c r="B5" s="3" t="s">
        <v>6</v>
      </c>
      <c r="C5" s="2"/>
    </row>
    <row r="6" spans="1:3" x14ac:dyDescent="0.25">
      <c r="A6" s="2">
        <f t="shared" ca="1" si="0"/>
        <v>5</v>
      </c>
      <c r="B6" s="3" t="s">
        <v>7</v>
      </c>
      <c r="C6" s="2"/>
    </row>
    <row r="7" spans="1:3" x14ac:dyDescent="0.25">
      <c r="A7" s="2">
        <f t="shared" ca="1" si="0"/>
        <v>6</v>
      </c>
      <c r="B7" s="3" t="s">
        <v>8</v>
      </c>
      <c r="C7" s="2"/>
    </row>
    <row r="8" spans="1:3" x14ac:dyDescent="0.25">
      <c r="A8" s="2">
        <f t="shared" ca="1" si="0"/>
        <v>7</v>
      </c>
      <c r="B8" s="3" t="s">
        <v>9</v>
      </c>
      <c r="C8" s="2"/>
    </row>
    <row r="9" spans="1:3" x14ac:dyDescent="0.25">
      <c r="A9" s="2">
        <f t="shared" ca="1" si="0"/>
        <v>8</v>
      </c>
      <c r="B9" s="3" t="s">
        <v>10</v>
      </c>
      <c r="C9" s="2"/>
    </row>
    <row r="10" spans="1:3" x14ac:dyDescent="0.25">
      <c r="A10" s="2">
        <f t="shared" ca="1" si="0"/>
        <v>9</v>
      </c>
      <c r="B10" s="3" t="s">
        <v>11</v>
      </c>
      <c r="C10" s="2"/>
    </row>
    <row r="11" spans="1:3" x14ac:dyDescent="0.25">
      <c r="A11" s="2">
        <f t="shared" ca="1" si="0"/>
        <v>10</v>
      </c>
      <c r="B11" s="3" t="s">
        <v>12</v>
      </c>
      <c r="C11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L33"/>
  <sheetViews>
    <sheetView workbookViewId="0"/>
  </sheetViews>
  <sheetFormatPr defaultRowHeight="15" x14ac:dyDescent="0.25"/>
  <cols>
    <col min="2" max="2" width="14" customWidth="1"/>
    <col min="3" max="3" width="13.5703125" bestFit="1" customWidth="1"/>
    <col min="5" max="5" width="10.5703125" bestFit="1" customWidth="1"/>
    <col min="6" max="6" width="13.5703125" bestFit="1" customWidth="1"/>
    <col min="7" max="9" width="10.5703125" bestFit="1" customWidth="1"/>
    <col min="12" max="12" width="7.85546875" bestFit="1" customWidth="1"/>
  </cols>
  <sheetData>
    <row r="2" spans="2:12" x14ac:dyDescent="0.25">
      <c r="B2" t="s">
        <v>13</v>
      </c>
      <c r="C2" s="4">
        <v>200000</v>
      </c>
    </row>
    <row r="4" spans="2:12" x14ac:dyDescent="0.25">
      <c r="B4" t="s">
        <v>14</v>
      </c>
      <c r="C4">
        <v>18</v>
      </c>
      <c r="D4" t="s">
        <v>15</v>
      </c>
      <c r="J4">
        <v>-2500</v>
      </c>
    </row>
    <row r="5" spans="2:12" x14ac:dyDescent="0.25">
      <c r="J5" s="4">
        <v>100</v>
      </c>
    </row>
    <row r="6" spans="2:12" x14ac:dyDescent="0.25">
      <c r="B6" t="s">
        <v>16</v>
      </c>
      <c r="C6" s="4">
        <v>4500</v>
      </c>
      <c r="D6" t="s">
        <v>17</v>
      </c>
      <c r="F6" s="7">
        <f>FV(C8,C4,C6,-C10)</f>
        <v>-389334.48987842747</v>
      </c>
      <c r="J6" s="4">
        <v>200</v>
      </c>
    </row>
    <row r="7" spans="2:12" x14ac:dyDescent="0.25">
      <c r="J7" s="4">
        <v>300</v>
      </c>
    </row>
    <row r="8" spans="2:12" x14ac:dyDescent="0.25">
      <c r="B8" t="s">
        <v>18</v>
      </c>
      <c r="C8" s="6">
        <v>1.7999999999999999E-2</v>
      </c>
      <c r="D8" t="s">
        <v>19</v>
      </c>
      <c r="J8" s="4">
        <v>400</v>
      </c>
      <c r="L8" s="5">
        <f>IRR(J4:J10)</f>
        <v>-9.0110491317193508E-3</v>
      </c>
    </row>
    <row r="9" spans="2:12" x14ac:dyDescent="0.25">
      <c r="J9" s="4">
        <v>600</v>
      </c>
      <c r="L9" s="9">
        <f>ROUND(NPV(L8,J4:J10),2)</f>
        <v>0</v>
      </c>
    </row>
    <row r="10" spans="2:12" x14ac:dyDescent="0.25">
      <c r="B10" t="s">
        <v>20</v>
      </c>
      <c r="C10" s="7">
        <f>PV(C8,C4,C6,C2)</f>
        <v>-213733.13628278044</v>
      </c>
      <c r="E10" t="e">
        <f>v</f>
        <v>#NAME?</v>
      </c>
      <c r="J10" s="4">
        <v>800</v>
      </c>
    </row>
    <row r="13" spans="2:12" x14ac:dyDescent="0.25">
      <c r="C13" s="7">
        <f>FV(C8,C4,C6,C2)</f>
        <v>-370401.04089058476</v>
      </c>
      <c r="F13" s="10">
        <f>IRR(F14:F32)</f>
        <v>1.3100631690576847E-14</v>
      </c>
      <c r="G13" s="11">
        <f>IRR(G14:G32)</f>
        <v>3.3696640786827547E-2</v>
      </c>
    </row>
    <row r="14" spans="2:12" x14ac:dyDescent="0.25">
      <c r="C14">
        <v>4500</v>
      </c>
      <c r="E14" s="8">
        <f>C6*C4</f>
        <v>81000</v>
      </c>
      <c r="F14" s="4">
        <v>-81000</v>
      </c>
      <c r="G14" s="4">
        <v>-60000</v>
      </c>
    </row>
    <row r="15" spans="2:12" x14ac:dyDescent="0.25">
      <c r="C15">
        <v>4500</v>
      </c>
      <c r="F15" s="4">
        <v>4500</v>
      </c>
      <c r="G15" s="4">
        <v>4500</v>
      </c>
    </row>
    <row r="16" spans="2:12" x14ac:dyDescent="0.25">
      <c r="C16">
        <v>4500</v>
      </c>
      <c r="F16" s="4">
        <v>4500</v>
      </c>
      <c r="G16" s="4">
        <v>4500</v>
      </c>
    </row>
    <row r="17" spans="3:7" x14ac:dyDescent="0.25">
      <c r="C17">
        <v>4500</v>
      </c>
      <c r="F17" s="4">
        <v>4500</v>
      </c>
      <c r="G17" s="4">
        <v>4500</v>
      </c>
    </row>
    <row r="18" spans="3:7" x14ac:dyDescent="0.25">
      <c r="C18">
        <v>4500</v>
      </c>
      <c r="F18" s="4">
        <v>4500</v>
      </c>
      <c r="G18" s="4">
        <v>4500</v>
      </c>
    </row>
    <row r="19" spans="3:7" x14ac:dyDescent="0.25">
      <c r="C19">
        <v>4500</v>
      </c>
      <c r="F19" s="4">
        <v>4500</v>
      </c>
      <c r="G19" s="4">
        <v>4500</v>
      </c>
    </row>
    <row r="20" spans="3:7" x14ac:dyDescent="0.25">
      <c r="C20">
        <v>4500</v>
      </c>
      <c r="F20" s="4">
        <v>4500</v>
      </c>
      <c r="G20" s="4">
        <v>4500</v>
      </c>
    </row>
    <row r="21" spans="3:7" x14ac:dyDescent="0.25">
      <c r="C21">
        <v>4500</v>
      </c>
      <c r="F21" s="4">
        <v>4500</v>
      </c>
      <c r="G21" s="4">
        <v>4500</v>
      </c>
    </row>
    <row r="22" spans="3:7" x14ac:dyDescent="0.25">
      <c r="C22">
        <v>4500</v>
      </c>
      <c r="F22" s="4">
        <v>4500</v>
      </c>
      <c r="G22" s="4">
        <v>4500</v>
      </c>
    </row>
    <row r="23" spans="3:7" x14ac:dyDescent="0.25">
      <c r="C23">
        <v>4500</v>
      </c>
      <c r="F23" s="4">
        <v>4500</v>
      </c>
      <c r="G23" s="4">
        <v>4500</v>
      </c>
    </row>
    <row r="24" spans="3:7" x14ac:dyDescent="0.25">
      <c r="C24">
        <v>4500</v>
      </c>
      <c r="F24" s="4">
        <v>4500</v>
      </c>
      <c r="G24" s="4">
        <v>4500</v>
      </c>
    </row>
    <row r="25" spans="3:7" x14ac:dyDescent="0.25">
      <c r="C25">
        <v>4500</v>
      </c>
      <c r="F25" s="4">
        <v>4500</v>
      </c>
      <c r="G25" s="4">
        <v>4500</v>
      </c>
    </row>
    <row r="26" spans="3:7" x14ac:dyDescent="0.25">
      <c r="C26">
        <v>4500</v>
      </c>
      <c r="F26" s="4">
        <v>4500</v>
      </c>
      <c r="G26" s="4">
        <v>4500</v>
      </c>
    </row>
    <row r="27" spans="3:7" x14ac:dyDescent="0.25">
      <c r="C27">
        <v>4500</v>
      </c>
      <c r="F27" s="4">
        <v>4500</v>
      </c>
      <c r="G27" s="4">
        <v>4500</v>
      </c>
    </row>
    <row r="28" spans="3:7" x14ac:dyDescent="0.25">
      <c r="C28">
        <v>4500</v>
      </c>
      <c r="F28" s="4">
        <v>4500</v>
      </c>
      <c r="G28" s="4">
        <v>4500</v>
      </c>
    </row>
    <row r="29" spans="3:7" x14ac:dyDescent="0.25">
      <c r="C29">
        <v>4500</v>
      </c>
      <c r="F29" s="4">
        <v>4500</v>
      </c>
      <c r="G29" s="4">
        <v>4500</v>
      </c>
    </row>
    <row r="30" spans="3:7" x14ac:dyDescent="0.25">
      <c r="C30">
        <v>4500</v>
      </c>
      <c r="F30" s="4">
        <v>4500</v>
      </c>
      <c r="G30" s="4">
        <v>4500</v>
      </c>
    </row>
    <row r="31" spans="3:7" x14ac:dyDescent="0.25">
      <c r="C31">
        <v>4500</v>
      </c>
      <c r="F31" s="4">
        <v>4500</v>
      </c>
      <c r="G31" s="4">
        <v>4500</v>
      </c>
    </row>
    <row r="32" spans="3:7" x14ac:dyDescent="0.25">
      <c r="F32" s="4">
        <v>4500</v>
      </c>
      <c r="G32" s="4">
        <v>4500</v>
      </c>
    </row>
    <row r="33" spans="8:10" x14ac:dyDescent="0.25">
      <c r="H33" s="8">
        <f>SUM(G15:G32)</f>
        <v>81000</v>
      </c>
      <c r="I33" s="8">
        <f>H33+G14</f>
        <v>21000</v>
      </c>
      <c r="J33" s="6">
        <f>I33/-G14/C4</f>
        <v>1.9444444444444445E-2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Cadastro_Cartao_Credito">
    <tabColor theme="7" tint="0.79998168889431442"/>
  </sheetPr>
  <dimension ref="A1:D3"/>
  <sheetViews>
    <sheetView showGridLines="0" workbookViewId="0">
      <selection activeCell="E1" sqref="E1"/>
    </sheetView>
  </sheetViews>
  <sheetFormatPr defaultRowHeight="15" x14ac:dyDescent="0.25"/>
  <cols>
    <col min="1" max="1" width="12.7109375" customWidth="1"/>
    <col min="2" max="2" width="23.140625" bestFit="1" customWidth="1"/>
    <col min="3" max="3" width="20.7109375" customWidth="1"/>
    <col min="4" max="4" width="12.7109375" customWidth="1"/>
  </cols>
  <sheetData>
    <row r="1" spans="1:4" ht="45" customHeight="1" x14ac:dyDescent="0.25">
      <c r="A1" s="15" t="s">
        <v>24</v>
      </c>
      <c r="B1" s="15" t="s">
        <v>25</v>
      </c>
      <c r="C1" s="15" t="s">
        <v>39</v>
      </c>
      <c r="D1" s="15" t="s">
        <v>38</v>
      </c>
    </row>
    <row r="2" spans="1:4" x14ac:dyDescent="0.25">
      <c r="A2" t="s">
        <v>26</v>
      </c>
      <c r="B2" t="s">
        <v>28</v>
      </c>
      <c r="C2" s="16" t="s">
        <v>29</v>
      </c>
      <c r="D2" s="1">
        <v>10</v>
      </c>
    </row>
    <row r="3" spans="1:4" x14ac:dyDescent="0.25">
      <c r="A3" t="s">
        <v>27</v>
      </c>
      <c r="B3" t="s">
        <v>31</v>
      </c>
      <c r="C3" s="16" t="s">
        <v>30</v>
      </c>
      <c r="D3" s="1">
        <v>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Cartao_Credito_Detalhado">
    <tabColor theme="8" tint="0.79998168889431442"/>
  </sheetPr>
  <dimension ref="A1:BC13"/>
  <sheetViews>
    <sheetView showGridLines="0" tabSelected="1" workbookViewId="0"/>
  </sheetViews>
  <sheetFormatPr defaultRowHeight="15" x14ac:dyDescent="0.25"/>
  <cols>
    <col min="1" max="1" width="12.7109375" customWidth="1"/>
    <col min="2" max="2" width="15.7109375" customWidth="1"/>
    <col min="3" max="3" width="40.7109375" customWidth="1"/>
    <col min="4" max="4" width="8.7109375" customWidth="1"/>
    <col min="5" max="6" width="15.7109375" customWidth="1"/>
    <col min="7" max="7" width="8.7109375" customWidth="1"/>
    <col min="8" max="8" width="20.7109375" customWidth="1"/>
    <col min="9" max="55" width="12.7109375" customWidth="1"/>
  </cols>
  <sheetData>
    <row r="1" spans="1:55" x14ac:dyDescent="0.25">
      <c r="E1" s="17">
        <f>SUBTOTAL(109,tb_Cartao_Credito_Detalhado[Valor (R$)])</f>
        <v>8034.17</v>
      </c>
      <c r="F1" s="18">
        <f>SUBTOTAL(109,tb_Cartao_Credito_Detalhado[Valor (US$)])</f>
        <v>435</v>
      </c>
      <c r="H1" s="20" t="s">
        <v>41</v>
      </c>
      <c r="I1" s="20"/>
      <c r="K1" s="21">
        <v>1</v>
      </c>
      <c r="L1" s="21">
        <v>2</v>
      </c>
      <c r="M1" s="21">
        <v>3</v>
      </c>
      <c r="N1" s="21">
        <v>4</v>
      </c>
      <c r="O1" s="21">
        <v>5</v>
      </c>
      <c r="P1" s="21">
        <v>6</v>
      </c>
      <c r="Q1" s="21">
        <v>7</v>
      </c>
      <c r="R1" s="21">
        <v>8</v>
      </c>
      <c r="S1" s="21">
        <v>9</v>
      </c>
      <c r="T1" s="21">
        <v>10</v>
      </c>
      <c r="U1" s="21">
        <v>11</v>
      </c>
      <c r="V1" s="21">
        <v>12</v>
      </c>
      <c r="W1" s="21">
        <v>13</v>
      </c>
      <c r="X1" s="21">
        <v>14</v>
      </c>
      <c r="Y1" s="21">
        <v>15</v>
      </c>
      <c r="Z1" s="21">
        <v>16</v>
      </c>
      <c r="AA1" s="21">
        <v>17</v>
      </c>
      <c r="AB1" s="21">
        <v>18</v>
      </c>
      <c r="AC1" s="21">
        <v>19</v>
      </c>
      <c r="AD1" s="21">
        <v>20</v>
      </c>
      <c r="AE1" s="21">
        <v>21</v>
      </c>
      <c r="AF1" s="21">
        <v>22</v>
      </c>
      <c r="AG1" s="21">
        <v>23</v>
      </c>
      <c r="AH1" s="21">
        <v>24</v>
      </c>
      <c r="AI1" s="21">
        <v>25</v>
      </c>
      <c r="AJ1" s="21">
        <v>26</v>
      </c>
      <c r="AK1" s="21">
        <v>27</v>
      </c>
      <c r="AL1" s="21">
        <v>28</v>
      </c>
      <c r="AM1" s="21">
        <v>29</v>
      </c>
      <c r="AN1" s="21">
        <v>30</v>
      </c>
      <c r="AO1" s="21">
        <v>31</v>
      </c>
      <c r="AP1" s="21">
        <v>32</v>
      </c>
      <c r="AQ1" s="21">
        <v>33</v>
      </c>
      <c r="AR1" s="21">
        <v>34</v>
      </c>
      <c r="AS1" s="21">
        <v>35</v>
      </c>
      <c r="AT1" s="21">
        <v>36</v>
      </c>
      <c r="AU1" s="21">
        <v>37</v>
      </c>
      <c r="AV1" s="21">
        <v>38</v>
      </c>
      <c r="AW1" s="21">
        <v>39</v>
      </c>
      <c r="AX1" s="21">
        <v>40</v>
      </c>
      <c r="AY1" s="21">
        <v>41</v>
      </c>
      <c r="AZ1" s="21">
        <v>42</v>
      </c>
      <c r="BA1" s="21">
        <v>43</v>
      </c>
      <c r="BB1" s="21">
        <v>44</v>
      </c>
      <c r="BC1" s="21">
        <v>45</v>
      </c>
    </row>
    <row r="2" spans="1:55" ht="39.950000000000003" customHeight="1" x14ac:dyDescent="0.25">
      <c r="A2" s="15" t="s">
        <v>21</v>
      </c>
      <c r="B2" s="15" t="s">
        <v>23</v>
      </c>
      <c r="C2" s="15" t="s">
        <v>0</v>
      </c>
      <c r="D2" s="15" t="s">
        <v>33</v>
      </c>
      <c r="E2" s="15" t="s">
        <v>32</v>
      </c>
      <c r="F2" s="15" t="s">
        <v>22</v>
      </c>
      <c r="G2" s="15" t="s">
        <v>88</v>
      </c>
      <c r="H2" s="15" t="s">
        <v>40</v>
      </c>
      <c r="I2" s="24" t="s">
        <v>91</v>
      </c>
      <c r="J2" s="25" t="s">
        <v>90</v>
      </c>
      <c r="K2" s="15" t="s">
        <v>42</v>
      </c>
      <c r="L2" s="15" t="s">
        <v>43</v>
      </c>
      <c r="M2" s="15" t="s">
        <v>44</v>
      </c>
      <c r="N2" s="15" t="s">
        <v>45</v>
      </c>
      <c r="O2" s="15" t="s">
        <v>46</v>
      </c>
      <c r="P2" s="15" t="s">
        <v>47</v>
      </c>
      <c r="Q2" s="15" t="s">
        <v>48</v>
      </c>
      <c r="R2" s="15" t="s">
        <v>49</v>
      </c>
      <c r="S2" s="15" t="s">
        <v>50</v>
      </c>
      <c r="T2" s="15" t="s">
        <v>51</v>
      </c>
      <c r="U2" s="15" t="s">
        <v>52</v>
      </c>
      <c r="V2" s="15" t="s">
        <v>53</v>
      </c>
      <c r="W2" s="15" t="s">
        <v>54</v>
      </c>
      <c r="X2" s="15" t="s">
        <v>55</v>
      </c>
      <c r="Y2" s="15" t="s">
        <v>56</v>
      </c>
      <c r="Z2" s="15" t="s">
        <v>57</v>
      </c>
      <c r="AA2" s="15" t="s">
        <v>58</v>
      </c>
      <c r="AB2" s="15" t="s">
        <v>59</v>
      </c>
      <c r="AC2" s="15" t="s">
        <v>60</v>
      </c>
      <c r="AD2" s="15" t="s">
        <v>61</v>
      </c>
      <c r="AE2" s="15" t="s">
        <v>62</v>
      </c>
      <c r="AF2" s="15" t="s">
        <v>63</v>
      </c>
      <c r="AG2" s="15" t="s">
        <v>64</v>
      </c>
      <c r="AH2" s="15" t="s">
        <v>65</v>
      </c>
      <c r="AI2" s="15" t="s">
        <v>66</v>
      </c>
      <c r="AJ2" s="15" t="s">
        <v>67</v>
      </c>
      <c r="AK2" s="15" t="s">
        <v>68</v>
      </c>
      <c r="AL2" s="15" t="s">
        <v>69</v>
      </c>
      <c r="AM2" s="15" t="s">
        <v>70</v>
      </c>
      <c r="AN2" s="15" t="s">
        <v>71</v>
      </c>
      <c r="AO2" s="15" t="s">
        <v>72</v>
      </c>
      <c r="AP2" s="15" t="s">
        <v>73</v>
      </c>
      <c r="AQ2" s="15" t="s">
        <v>74</v>
      </c>
      <c r="AR2" s="15" t="s">
        <v>75</v>
      </c>
      <c r="AS2" s="15" t="s">
        <v>76</v>
      </c>
      <c r="AT2" s="15" t="s">
        <v>77</v>
      </c>
      <c r="AU2" s="15" t="s">
        <v>78</v>
      </c>
      <c r="AV2" s="15" t="s">
        <v>79</v>
      </c>
      <c r="AW2" s="15" t="s">
        <v>80</v>
      </c>
      <c r="AX2" s="15" t="s">
        <v>81</v>
      </c>
      <c r="AY2" s="15" t="s">
        <v>82</v>
      </c>
      <c r="AZ2" s="15" t="s">
        <v>83</v>
      </c>
      <c r="BA2" s="15" t="s">
        <v>84</v>
      </c>
      <c r="BB2" s="15" t="s">
        <v>85</v>
      </c>
      <c r="BC2" s="15" t="s">
        <v>86</v>
      </c>
    </row>
    <row r="3" spans="1:55" x14ac:dyDescent="0.25">
      <c r="A3" s="12">
        <v>42736</v>
      </c>
      <c r="B3" s="2" t="s">
        <v>29</v>
      </c>
      <c r="C3" s="3" t="s">
        <v>34</v>
      </c>
      <c r="D3" s="2">
        <v>3</v>
      </c>
      <c r="E3" s="13">
        <v>625.72</v>
      </c>
      <c r="F3" s="14"/>
      <c r="G3" s="13"/>
      <c r="H3" s="19"/>
      <c r="I3" s="29" t="str">
        <f>IF(ISERROR(TEXT(tb_Cartao_Credito_Detalhado[[#This Row],[Data]],"mm-aaaa")),"ERRO",TEXT(tb_Cartao_Credito_Detalhado[[#This Row],[Data]],"mmm-aaaa"))</f>
        <v>jan-2017</v>
      </c>
      <c r="J3" s="26">
        <f>tb_Cartao_Credito_Detalhado[[#This Row],[Valor (R$)]]+tb_Cartao_Credito_Detalhado[[#This Row],[Valor (US$)]]*tb_Cartao_Credito_Detalhado[[#This Row],[Taxa Dólar]]</f>
        <v>625.72</v>
      </c>
      <c r="K3" s="22">
        <f>IF(tb_Cartao_Credito_Detalhado[[#This Row],[Parcelas]]&lt;=$K$1,tb_Cartao_Credito_Detalhado[[#This Row],[Total]],tb_Cartao_Credito_Detalhado[[#This Row],[Total]]/tb_Cartao_Credito_Detalhado[[#This Row],[Parcelas]])</f>
        <v>208.57333333333335</v>
      </c>
      <c r="L3" s="22">
        <f>IF(tb_Cartao_Credito_Detalhado[[#This Row],[Parcelas]]&gt;=L$1,tb_Cartao_Credito_Detalhado[[#This Row],[Total]]/tb_Cartao_Credito_Detalhado[[#This Row],[Parcelas]],0)</f>
        <v>208.57333333333335</v>
      </c>
      <c r="M3" s="22">
        <f>IF(tb_Cartao_Credito_Detalhado[[#This Row],[Parcelas]]&gt;=M$1,tb_Cartao_Credito_Detalhado[[#This Row],[Total]]/tb_Cartao_Credito_Detalhado[[#This Row],[Parcelas]],0)</f>
        <v>208.57333333333335</v>
      </c>
      <c r="N3" s="22">
        <f>IF(tb_Cartao_Credito_Detalhado[[#This Row],[Parcelas]]&gt;=N$1,tb_Cartao_Credito_Detalhado[[#This Row],[Total]]/tb_Cartao_Credito_Detalhado[[#This Row],[Parcelas]],0)</f>
        <v>0</v>
      </c>
      <c r="O3" s="22">
        <f>IF(tb_Cartao_Credito_Detalhado[[#This Row],[Parcelas]]&gt;=O$1,tb_Cartao_Credito_Detalhado[[#This Row],[Total]]/tb_Cartao_Credito_Detalhado[[#This Row],[Parcelas]],0)</f>
        <v>0</v>
      </c>
      <c r="P3" s="22">
        <f>IF(tb_Cartao_Credito_Detalhado[[#This Row],[Parcelas]]&gt;=P$1,tb_Cartao_Credito_Detalhado[[#This Row],[Total]]/tb_Cartao_Credito_Detalhado[[#This Row],[Parcelas]],0)</f>
        <v>0</v>
      </c>
      <c r="Q3" s="22">
        <f>IF(tb_Cartao_Credito_Detalhado[[#This Row],[Parcelas]]&gt;=Q$1,tb_Cartao_Credito_Detalhado[[#This Row],[Total]]/tb_Cartao_Credito_Detalhado[[#This Row],[Parcelas]],0)</f>
        <v>0</v>
      </c>
      <c r="R3" s="22">
        <f>IF(tb_Cartao_Credito_Detalhado[[#This Row],[Parcelas]]&gt;=R$1,tb_Cartao_Credito_Detalhado[[#This Row],[Total]]/tb_Cartao_Credito_Detalhado[[#This Row],[Parcelas]],0)</f>
        <v>0</v>
      </c>
      <c r="S3" s="22">
        <f>IF(tb_Cartao_Credito_Detalhado[[#This Row],[Parcelas]]&gt;=S$1,tb_Cartao_Credito_Detalhado[[#This Row],[Total]]/tb_Cartao_Credito_Detalhado[[#This Row],[Parcelas]],0)</f>
        <v>0</v>
      </c>
      <c r="T3" s="22">
        <f>IF(tb_Cartao_Credito_Detalhado[[#This Row],[Parcelas]]&gt;=T$1,tb_Cartao_Credito_Detalhado[[#This Row],[Total]]/tb_Cartao_Credito_Detalhado[[#This Row],[Parcelas]],0)</f>
        <v>0</v>
      </c>
      <c r="U3" s="22">
        <f>IF(tb_Cartao_Credito_Detalhado[[#This Row],[Parcelas]]&gt;=U$1,tb_Cartao_Credito_Detalhado[[#This Row],[Total]]/tb_Cartao_Credito_Detalhado[[#This Row],[Parcelas]],0)</f>
        <v>0</v>
      </c>
      <c r="V3" s="22">
        <f>IF(tb_Cartao_Credito_Detalhado[[#This Row],[Parcelas]]&gt;=V$1,tb_Cartao_Credito_Detalhado[[#This Row],[Total]]/tb_Cartao_Credito_Detalhado[[#This Row],[Parcelas]],0)</f>
        <v>0</v>
      </c>
      <c r="W3" s="22">
        <f>IF(tb_Cartao_Credito_Detalhado[[#This Row],[Parcelas]]&gt;=W$1,tb_Cartao_Credito_Detalhado[[#This Row],[Total]]/tb_Cartao_Credito_Detalhado[[#This Row],[Parcelas]],0)</f>
        <v>0</v>
      </c>
      <c r="X3" s="22">
        <f>IF(tb_Cartao_Credito_Detalhado[[#This Row],[Parcelas]]&gt;=X$1,tb_Cartao_Credito_Detalhado[[#This Row],[Total]]/tb_Cartao_Credito_Detalhado[[#This Row],[Parcelas]],0)</f>
        <v>0</v>
      </c>
      <c r="Y3" s="22">
        <f>IF(tb_Cartao_Credito_Detalhado[[#This Row],[Parcelas]]&gt;=Y$1,tb_Cartao_Credito_Detalhado[[#This Row],[Total]]/tb_Cartao_Credito_Detalhado[[#This Row],[Parcelas]],0)</f>
        <v>0</v>
      </c>
      <c r="Z3" s="22">
        <f>IF(tb_Cartao_Credito_Detalhado[[#This Row],[Parcelas]]&gt;=Z$1,tb_Cartao_Credito_Detalhado[[#This Row],[Total]]/tb_Cartao_Credito_Detalhado[[#This Row],[Parcelas]],0)</f>
        <v>0</v>
      </c>
      <c r="AA3" s="22">
        <f>IF(tb_Cartao_Credito_Detalhado[[#This Row],[Parcelas]]&gt;=AA$1,tb_Cartao_Credito_Detalhado[[#This Row],[Total]]/tb_Cartao_Credito_Detalhado[[#This Row],[Parcelas]],0)</f>
        <v>0</v>
      </c>
      <c r="AB3" s="22">
        <f>IF(tb_Cartao_Credito_Detalhado[[#This Row],[Parcelas]]&gt;=AB$1,tb_Cartao_Credito_Detalhado[[#This Row],[Total]]/tb_Cartao_Credito_Detalhado[[#This Row],[Parcelas]],0)</f>
        <v>0</v>
      </c>
      <c r="AC3" s="22">
        <f>IF(tb_Cartao_Credito_Detalhado[[#This Row],[Parcelas]]&gt;=AC$1,tb_Cartao_Credito_Detalhado[[#This Row],[Total]]/tb_Cartao_Credito_Detalhado[[#This Row],[Parcelas]],0)</f>
        <v>0</v>
      </c>
      <c r="AD3" s="22">
        <f>IF(tb_Cartao_Credito_Detalhado[[#This Row],[Parcelas]]&gt;=AD$1,tb_Cartao_Credito_Detalhado[[#This Row],[Total]]/tb_Cartao_Credito_Detalhado[[#This Row],[Parcelas]],0)</f>
        <v>0</v>
      </c>
      <c r="AE3" s="22">
        <f>IF(tb_Cartao_Credito_Detalhado[[#This Row],[Parcelas]]&gt;=AE$1,tb_Cartao_Credito_Detalhado[[#This Row],[Total]]/tb_Cartao_Credito_Detalhado[[#This Row],[Parcelas]],0)</f>
        <v>0</v>
      </c>
      <c r="AF3" s="22">
        <f>IF(tb_Cartao_Credito_Detalhado[[#This Row],[Parcelas]]&gt;=AF$1,tb_Cartao_Credito_Detalhado[[#This Row],[Total]]/tb_Cartao_Credito_Detalhado[[#This Row],[Parcelas]],0)</f>
        <v>0</v>
      </c>
      <c r="AG3" s="22">
        <f>IF(tb_Cartao_Credito_Detalhado[[#This Row],[Parcelas]]&gt;=AG$1,tb_Cartao_Credito_Detalhado[[#This Row],[Total]]/tb_Cartao_Credito_Detalhado[[#This Row],[Parcelas]],0)</f>
        <v>0</v>
      </c>
      <c r="AH3" s="22">
        <f>IF(tb_Cartao_Credito_Detalhado[[#This Row],[Parcelas]]&gt;=AH$1,tb_Cartao_Credito_Detalhado[[#This Row],[Total]]/tb_Cartao_Credito_Detalhado[[#This Row],[Parcelas]],0)</f>
        <v>0</v>
      </c>
      <c r="AI3" s="22">
        <f>IF(tb_Cartao_Credito_Detalhado[[#This Row],[Parcelas]]&gt;=AI$1,tb_Cartao_Credito_Detalhado[[#This Row],[Total]]/tb_Cartao_Credito_Detalhado[[#This Row],[Parcelas]],0)</f>
        <v>0</v>
      </c>
      <c r="AJ3" s="22">
        <f>IF(tb_Cartao_Credito_Detalhado[[#This Row],[Parcelas]]&gt;=AJ$1,tb_Cartao_Credito_Detalhado[[#This Row],[Total]]/tb_Cartao_Credito_Detalhado[[#This Row],[Parcelas]],0)</f>
        <v>0</v>
      </c>
      <c r="AK3" s="22">
        <f>IF(tb_Cartao_Credito_Detalhado[[#This Row],[Parcelas]]&gt;=AK$1,tb_Cartao_Credito_Detalhado[[#This Row],[Total]]/tb_Cartao_Credito_Detalhado[[#This Row],[Parcelas]],0)</f>
        <v>0</v>
      </c>
      <c r="AL3" s="22">
        <f>IF(tb_Cartao_Credito_Detalhado[[#This Row],[Parcelas]]&gt;=AL$1,tb_Cartao_Credito_Detalhado[[#This Row],[Total]]/tb_Cartao_Credito_Detalhado[[#This Row],[Parcelas]],0)</f>
        <v>0</v>
      </c>
      <c r="AM3" s="22">
        <f>IF(tb_Cartao_Credito_Detalhado[[#This Row],[Parcelas]]&gt;=AM$1,tb_Cartao_Credito_Detalhado[[#This Row],[Total]]/tb_Cartao_Credito_Detalhado[[#This Row],[Parcelas]],0)</f>
        <v>0</v>
      </c>
      <c r="AN3" s="22">
        <f>IF(tb_Cartao_Credito_Detalhado[[#This Row],[Parcelas]]&gt;=AN$1,tb_Cartao_Credito_Detalhado[[#This Row],[Total]]/tb_Cartao_Credito_Detalhado[[#This Row],[Parcelas]],0)</f>
        <v>0</v>
      </c>
      <c r="AO3" s="22">
        <f>IF(tb_Cartao_Credito_Detalhado[[#This Row],[Parcelas]]&gt;=AO$1,tb_Cartao_Credito_Detalhado[[#This Row],[Total]]/tb_Cartao_Credito_Detalhado[[#This Row],[Parcelas]],0)</f>
        <v>0</v>
      </c>
      <c r="AP3" s="22">
        <f>IF(tb_Cartao_Credito_Detalhado[[#This Row],[Parcelas]]&gt;=AP$1,tb_Cartao_Credito_Detalhado[[#This Row],[Total]]/tb_Cartao_Credito_Detalhado[[#This Row],[Parcelas]],0)</f>
        <v>0</v>
      </c>
      <c r="AQ3" s="22">
        <f>IF(tb_Cartao_Credito_Detalhado[[#This Row],[Parcelas]]&gt;=AQ$1,tb_Cartao_Credito_Detalhado[[#This Row],[Total]]/tb_Cartao_Credito_Detalhado[[#This Row],[Parcelas]],0)</f>
        <v>0</v>
      </c>
      <c r="AR3" s="22">
        <f>IF(tb_Cartao_Credito_Detalhado[[#This Row],[Parcelas]]&gt;=AR$1,tb_Cartao_Credito_Detalhado[[#This Row],[Total]]/tb_Cartao_Credito_Detalhado[[#This Row],[Parcelas]],0)</f>
        <v>0</v>
      </c>
      <c r="AS3" s="22">
        <f>IF(tb_Cartao_Credito_Detalhado[[#This Row],[Parcelas]]&gt;=AS$1,tb_Cartao_Credito_Detalhado[[#This Row],[Total]]/tb_Cartao_Credito_Detalhado[[#This Row],[Parcelas]],0)</f>
        <v>0</v>
      </c>
      <c r="AT3" s="22">
        <f>IF(tb_Cartao_Credito_Detalhado[[#This Row],[Parcelas]]&gt;=AT$1,tb_Cartao_Credito_Detalhado[[#This Row],[Total]]/tb_Cartao_Credito_Detalhado[[#This Row],[Parcelas]],0)</f>
        <v>0</v>
      </c>
      <c r="AU3" s="22">
        <f>IF(tb_Cartao_Credito_Detalhado[[#This Row],[Parcelas]]&gt;=AU$1,tb_Cartao_Credito_Detalhado[[#This Row],[Total]]/tb_Cartao_Credito_Detalhado[[#This Row],[Parcelas]],0)</f>
        <v>0</v>
      </c>
      <c r="AV3" s="22">
        <f>IF(tb_Cartao_Credito_Detalhado[[#This Row],[Parcelas]]&gt;=AV$1,tb_Cartao_Credito_Detalhado[[#This Row],[Total]]/tb_Cartao_Credito_Detalhado[[#This Row],[Parcelas]],0)</f>
        <v>0</v>
      </c>
      <c r="AW3" s="22">
        <f>IF(tb_Cartao_Credito_Detalhado[[#This Row],[Parcelas]]&gt;=AW$1,tb_Cartao_Credito_Detalhado[[#This Row],[Total]]/tb_Cartao_Credito_Detalhado[[#This Row],[Parcelas]],0)</f>
        <v>0</v>
      </c>
      <c r="AX3" s="22">
        <f>IF(tb_Cartao_Credito_Detalhado[[#This Row],[Parcelas]]&gt;=AX$1,tb_Cartao_Credito_Detalhado[[#This Row],[Total]]/tb_Cartao_Credito_Detalhado[[#This Row],[Parcelas]],0)</f>
        <v>0</v>
      </c>
      <c r="AY3" s="22">
        <f>IF(tb_Cartao_Credito_Detalhado[[#This Row],[Parcelas]]&gt;=AY$1,tb_Cartao_Credito_Detalhado[[#This Row],[Total]]/tb_Cartao_Credito_Detalhado[[#This Row],[Parcelas]],0)</f>
        <v>0</v>
      </c>
      <c r="AZ3" s="22">
        <f>IF(tb_Cartao_Credito_Detalhado[[#This Row],[Parcelas]]&gt;=AZ$1,tb_Cartao_Credito_Detalhado[[#This Row],[Total]]/tb_Cartao_Credito_Detalhado[[#This Row],[Parcelas]],0)</f>
        <v>0</v>
      </c>
      <c r="BA3" s="22">
        <f>IF(tb_Cartao_Credito_Detalhado[[#This Row],[Parcelas]]&gt;=BA$1,tb_Cartao_Credito_Detalhado[[#This Row],[Total]]/tb_Cartao_Credito_Detalhado[[#This Row],[Parcelas]],0)</f>
        <v>0</v>
      </c>
      <c r="BB3" s="22">
        <f>IF(tb_Cartao_Credito_Detalhado[[#This Row],[Parcelas]]&gt;=BB$1,tb_Cartao_Credito_Detalhado[[#This Row],[Total]]/tb_Cartao_Credito_Detalhado[[#This Row],[Parcelas]],0)</f>
        <v>0</v>
      </c>
      <c r="BC3" s="22">
        <f>IF(tb_Cartao_Credito_Detalhado[[#This Row],[Parcelas]]&gt;=BC$1,tb_Cartao_Credito_Detalhado[[#This Row],[Total]]/tb_Cartao_Credito_Detalhado[[#This Row],[Parcelas]],0)</f>
        <v>0</v>
      </c>
    </row>
    <row r="4" spans="1:55" x14ac:dyDescent="0.25">
      <c r="A4" s="12">
        <v>42736</v>
      </c>
      <c r="B4" s="2" t="s">
        <v>29</v>
      </c>
      <c r="C4" s="3" t="s">
        <v>35</v>
      </c>
      <c r="D4" s="2">
        <v>4</v>
      </c>
      <c r="E4" s="13">
        <v>1456</v>
      </c>
      <c r="F4" s="14"/>
      <c r="G4" s="13"/>
      <c r="H4" s="19"/>
      <c r="I4" s="29" t="str">
        <f>IF(ISERROR(TEXT(tb_Cartao_Credito_Detalhado[[#This Row],[Data]],"mm-aaaa")),"ERRO",TEXT(tb_Cartao_Credito_Detalhado[[#This Row],[Data]],"mmm-aaaa"))</f>
        <v>jan-2017</v>
      </c>
      <c r="J4" s="26">
        <f>tb_Cartao_Credito_Detalhado[[#This Row],[Valor (R$)]]+tb_Cartao_Credito_Detalhado[[#This Row],[Valor (US$)]]*tb_Cartao_Credito_Detalhado[[#This Row],[Taxa Dólar]]</f>
        <v>1456</v>
      </c>
      <c r="K4" s="22">
        <f>IF(tb_Cartao_Credito_Detalhado[[#This Row],[Parcelas]]&lt;=$K$1,tb_Cartao_Credito_Detalhado[[#This Row],[Total]],tb_Cartao_Credito_Detalhado[[#This Row],[Total]]/tb_Cartao_Credito_Detalhado[[#This Row],[Parcelas]])</f>
        <v>364</v>
      </c>
      <c r="L4" s="22">
        <f>IF(tb_Cartao_Credito_Detalhado[[#This Row],[Parcelas]]&gt;=L$1,tb_Cartao_Credito_Detalhado[[#This Row],[Total]]/tb_Cartao_Credito_Detalhado[[#This Row],[Parcelas]],0)</f>
        <v>364</v>
      </c>
      <c r="M4" s="22">
        <f>IF(tb_Cartao_Credito_Detalhado[[#This Row],[Parcelas]]&gt;=M$1,tb_Cartao_Credito_Detalhado[[#This Row],[Total]]/tb_Cartao_Credito_Detalhado[[#This Row],[Parcelas]],0)</f>
        <v>364</v>
      </c>
      <c r="N4" s="22">
        <f>IF(tb_Cartao_Credito_Detalhado[[#This Row],[Parcelas]]&gt;=N$1,tb_Cartao_Credito_Detalhado[[#This Row],[Total]]/tb_Cartao_Credito_Detalhado[[#This Row],[Parcelas]],0)</f>
        <v>364</v>
      </c>
      <c r="O4" s="22">
        <f>IF(tb_Cartao_Credito_Detalhado[[#This Row],[Parcelas]]&gt;=O$1,tb_Cartao_Credito_Detalhado[[#This Row],[Total]]/tb_Cartao_Credito_Detalhado[[#This Row],[Parcelas]],0)</f>
        <v>0</v>
      </c>
      <c r="P4" s="22">
        <f>IF(tb_Cartao_Credito_Detalhado[[#This Row],[Parcelas]]&gt;=P$1,tb_Cartao_Credito_Detalhado[[#This Row],[Total]]/tb_Cartao_Credito_Detalhado[[#This Row],[Parcelas]],0)</f>
        <v>0</v>
      </c>
      <c r="Q4" s="22">
        <f>IF(tb_Cartao_Credito_Detalhado[[#This Row],[Parcelas]]&gt;=Q$1,tb_Cartao_Credito_Detalhado[[#This Row],[Total]]/tb_Cartao_Credito_Detalhado[[#This Row],[Parcelas]],0)</f>
        <v>0</v>
      </c>
      <c r="R4" s="22">
        <f>IF(tb_Cartao_Credito_Detalhado[[#This Row],[Parcelas]]&gt;=R$1,tb_Cartao_Credito_Detalhado[[#This Row],[Total]]/tb_Cartao_Credito_Detalhado[[#This Row],[Parcelas]],0)</f>
        <v>0</v>
      </c>
      <c r="S4" s="22">
        <f>IF(tb_Cartao_Credito_Detalhado[[#This Row],[Parcelas]]&gt;=S$1,tb_Cartao_Credito_Detalhado[[#This Row],[Total]]/tb_Cartao_Credito_Detalhado[[#This Row],[Parcelas]],0)</f>
        <v>0</v>
      </c>
      <c r="T4" s="22">
        <f>IF(tb_Cartao_Credito_Detalhado[[#This Row],[Parcelas]]&gt;=T$1,tb_Cartao_Credito_Detalhado[[#This Row],[Total]]/tb_Cartao_Credito_Detalhado[[#This Row],[Parcelas]],0)</f>
        <v>0</v>
      </c>
      <c r="U4" s="22">
        <f>IF(tb_Cartao_Credito_Detalhado[[#This Row],[Parcelas]]&gt;=U$1,tb_Cartao_Credito_Detalhado[[#This Row],[Total]]/tb_Cartao_Credito_Detalhado[[#This Row],[Parcelas]],0)</f>
        <v>0</v>
      </c>
      <c r="V4" s="22">
        <f>IF(tb_Cartao_Credito_Detalhado[[#This Row],[Parcelas]]&gt;=V$1,tb_Cartao_Credito_Detalhado[[#This Row],[Total]]/tb_Cartao_Credito_Detalhado[[#This Row],[Parcelas]],0)</f>
        <v>0</v>
      </c>
      <c r="W4" s="22">
        <f>IF(tb_Cartao_Credito_Detalhado[[#This Row],[Parcelas]]&gt;=W$1,tb_Cartao_Credito_Detalhado[[#This Row],[Total]]/tb_Cartao_Credito_Detalhado[[#This Row],[Parcelas]],0)</f>
        <v>0</v>
      </c>
      <c r="X4" s="22">
        <f>IF(tb_Cartao_Credito_Detalhado[[#This Row],[Parcelas]]&gt;=X$1,tb_Cartao_Credito_Detalhado[[#This Row],[Total]]/tb_Cartao_Credito_Detalhado[[#This Row],[Parcelas]],0)</f>
        <v>0</v>
      </c>
      <c r="Y4" s="22">
        <f>IF(tb_Cartao_Credito_Detalhado[[#This Row],[Parcelas]]&gt;=Y$1,tb_Cartao_Credito_Detalhado[[#This Row],[Total]]/tb_Cartao_Credito_Detalhado[[#This Row],[Parcelas]],0)</f>
        <v>0</v>
      </c>
      <c r="Z4" s="22">
        <f>IF(tb_Cartao_Credito_Detalhado[[#This Row],[Parcelas]]&gt;=Z$1,tb_Cartao_Credito_Detalhado[[#This Row],[Total]]/tb_Cartao_Credito_Detalhado[[#This Row],[Parcelas]],0)</f>
        <v>0</v>
      </c>
      <c r="AA4" s="22">
        <f>IF(tb_Cartao_Credito_Detalhado[[#This Row],[Parcelas]]&gt;=AA$1,tb_Cartao_Credito_Detalhado[[#This Row],[Total]]/tb_Cartao_Credito_Detalhado[[#This Row],[Parcelas]],0)</f>
        <v>0</v>
      </c>
      <c r="AB4" s="22">
        <f>IF(tb_Cartao_Credito_Detalhado[[#This Row],[Parcelas]]&gt;=AB$1,tb_Cartao_Credito_Detalhado[[#This Row],[Total]]/tb_Cartao_Credito_Detalhado[[#This Row],[Parcelas]],0)</f>
        <v>0</v>
      </c>
      <c r="AC4" s="22">
        <f>IF(tb_Cartao_Credito_Detalhado[[#This Row],[Parcelas]]&gt;=AC$1,tb_Cartao_Credito_Detalhado[[#This Row],[Total]]/tb_Cartao_Credito_Detalhado[[#This Row],[Parcelas]],0)</f>
        <v>0</v>
      </c>
      <c r="AD4" s="22">
        <f>IF(tb_Cartao_Credito_Detalhado[[#This Row],[Parcelas]]&gt;=AD$1,tb_Cartao_Credito_Detalhado[[#This Row],[Total]]/tb_Cartao_Credito_Detalhado[[#This Row],[Parcelas]],0)</f>
        <v>0</v>
      </c>
      <c r="AE4" s="22">
        <f>IF(tb_Cartao_Credito_Detalhado[[#This Row],[Parcelas]]&gt;=AE$1,tb_Cartao_Credito_Detalhado[[#This Row],[Total]]/tb_Cartao_Credito_Detalhado[[#This Row],[Parcelas]],0)</f>
        <v>0</v>
      </c>
      <c r="AF4" s="22">
        <f>IF(tb_Cartao_Credito_Detalhado[[#This Row],[Parcelas]]&gt;=AF$1,tb_Cartao_Credito_Detalhado[[#This Row],[Total]]/tb_Cartao_Credito_Detalhado[[#This Row],[Parcelas]],0)</f>
        <v>0</v>
      </c>
      <c r="AG4" s="22">
        <f>IF(tb_Cartao_Credito_Detalhado[[#This Row],[Parcelas]]&gt;=AG$1,tb_Cartao_Credito_Detalhado[[#This Row],[Total]]/tb_Cartao_Credito_Detalhado[[#This Row],[Parcelas]],0)</f>
        <v>0</v>
      </c>
      <c r="AH4" s="22">
        <f>IF(tb_Cartao_Credito_Detalhado[[#This Row],[Parcelas]]&gt;=AH$1,tb_Cartao_Credito_Detalhado[[#This Row],[Total]]/tb_Cartao_Credito_Detalhado[[#This Row],[Parcelas]],0)</f>
        <v>0</v>
      </c>
      <c r="AI4" s="22">
        <f>IF(tb_Cartao_Credito_Detalhado[[#This Row],[Parcelas]]&gt;=AI$1,tb_Cartao_Credito_Detalhado[[#This Row],[Total]]/tb_Cartao_Credito_Detalhado[[#This Row],[Parcelas]],0)</f>
        <v>0</v>
      </c>
      <c r="AJ4" s="22">
        <f>IF(tb_Cartao_Credito_Detalhado[[#This Row],[Parcelas]]&gt;=AJ$1,tb_Cartao_Credito_Detalhado[[#This Row],[Total]]/tb_Cartao_Credito_Detalhado[[#This Row],[Parcelas]],0)</f>
        <v>0</v>
      </c>
      <c r="AK4" s="22">
        <f>IF(tb_Cartao_Credito_Detalhado[[#This Row],[Parcelas]]&gt;=AK$1,tb_Cartao_Credito_Detalhado[[#This Row],[Total]]/tb_Cartao_Credito_Detalhado[[#This Row],[Parcelas]],0)</f>
        <v>0</v>
      </c>
      <c r="AL4" s="22">
        <f>IF(tb_Cartao_Credito_Detalhado[[#This Row],[Parcelas]]&gt;=AL$1,tb_Cartao_Credito_Detalhado[[#This Row],[Total]]/tb_Cartao_Credito_Detalhado[[#This Row],[Parcelas]],0)</f>
        <v>0</v>
      </c>
      <c r="AM4" s="22">
        <f>IF(tb_Cartao_Credito_Detalhado[[#This Row],[Parcelas]]&gt;=AM$1,tb_Cartao_Credito_Detalhado[[#This Row],[Total]]/tb_Cartao_Credito_Detalhado[[#This Row],[Parcelas]],0)</f>
        <v>0</v>
      </c>
      <c r="AN4" s="22">
        <f>IF(tb_Cartao_Credito_Detalhado[[#This Row],[Parcelas]]&gt;=AN$1,tb_Cartao_Credito_Detalhado[[#This Row],[Total]]/tb_Cartao_Credito_Detalhado[[#This Row],[Parcelas]],0)</f>
        <v>0</v>
      </c>
      <c r="AO4" s="22">
        <f>IF(tb_Cartao_Credito_Detalhado[[#This Row],[Parcelas]]&gt;=AO$1,tb_Cartao_Credito_Detalhado[[#This Row],[Total]]/tb_Cartao_Credito_Detalhado[[#This Row],[Parcelas]],0)</f>
        <v>0</v>
      </c>
      <c r="AP4" s="22">
        <f>IF(tb_Cartao_Credito_Detalhado[[#This Row],[Parcelas]]&gt;=AP$1,tb_Cartao_Credito_Detalhado[[#This Row],[Total]]/tb_Cartao_Credito_Detalhado[[#This Row],[Parcelas]],0)</f>
        <v>0</v>
      </c>
      <c r="AQ4" s="22">
        <f>IF(tb_Cartao_Credito_Detalhado[[#This Row],[Parcelas]]&gt;=AQ$1,tb_Cartao_Credito_Detalhado[[#This Row],[Total]]/tb_Cartao_Credito_Detalhado[[#This Row],[Parcelas]],0)</f>
        <v>0</v>
      </c>
      <c r="AR4" s="22">
        <f>IF(tb_Cartao_Credito_Detalhado[[#This Row],[Parcelas]]&gt;=AR$1,tb_Cartao_Credito_Detalhado[[#This Row],[Total]]/tb_Cartao_Credito_Detalhado[[#This Row],[Parcelas]],0)</f>
        <v>0</v>
      </c>
      <c r="AS4" s="22">
        <f>IF(tb_Cartao_Credito_Detalhado[[#This Row],[Parcelas]]&gt;=AS$1,tb_Cartao_Credito_Detalhado[[#This Row],[Total]]/tb_Cartao_Credito_Detalhado[[#This Row],[Parcelas]],0)</f>
        <v>0</v>
      </c>
      <c r="AT4" s="22">
        <f>IF(tb_Cartao_Credito_Detalhado[[#This Row],[Parcelas]]&gt;=AT$1,tb_Cartao_Credito_Detalhado[[#This Row],[Total]]/tb_Cartao_Credito_Detalhado[[#This Row],[Parcelas]],0)</f>
        <v>0</v>
      </c>
      <c r="AU4" s="22">
        <f>IF(tb_Cartao_Credito_Detalhado[[#This Row],[Parcelas]]&gt;=AU$1,tb_Cartao_Credito_Detalhado[[#This Row],[Total]]/tb_Cartao_Credito_Detalhado[[#This Row],[Parcelas]],0)</f>
        <v>0</v>
      </c>
      <c r="AV4" s="22">
        <f>IF(tb_Cartao_Credito_Detalhado[[#This Row],[Parcelas]]&gt;=AV$1,tb_Cartao_Credito_Detalhado[[#This Row],[Total]]/tb_Cartao_Credito_Detalhado[[#This Row],[Parcelas]],0)</f>
        <v>0</v>
      </c>
      <c r="AW4" s="22">
        <f>IF(tb_Cartao_Credito_Detalhado[[#This Row],[Parcelas]]&gt;=AW$1,tb_Cartao_Credito_Detalhado[[#This Row],[Total]]/tb_Cartao_Credito_Detalhado[[#This Row],[Parcelas]],0)</f>
        <v>0</v>
      </c>
      <c r="AX4" s="22">
        <f>IF(tb_Cartao_Credito_Detalhado[[#This Row],[Parcelas]]&gt;=AX$1,tb_Cartao_Credito_Detalhado[[#This Row],[Total]]/tb_Cartao_Credito_Detalhado[[#This Row],[Parcelas]],0)</f>
        <v>0</v>
      </c>
      <c r="AY4" s="22">
        <f>IF(tb_Cartao_Credito_Detalhado[[#This Row],[Parcelas]]&gt;=AY$1,tb_Cartao_Credito_Detalhado[[#This Row],[Total]]/tb_Cartao_Credito_Detalhado[[#This Row],[Parcelas]],0)</f>
        <v>0</v>
      </c>
      <c r="AZ4" s="22">
        <f>IF(tb_Cartao_Credito_Detalhado[[#This Row],[Parcelas]]&gt;=AZ$1,tb_Cartao_Credito_Detalhado[[#This Row],[Total]]/tb_Cartao_Credito_Detalhado[[#This Row],[Parcelas]],0)</f>
        <v>0</v>
      </c>
      <c r="BA4" s="22">
        <f>IF(tb_Cartao_Credito_Detalhado[[#This Row],[Parcelas]]&gt;=BA$1,tb_Cartao_Credito_Detalhado[[#This Row],[Total]]/tb_Cartao_Credito_Detalhado[[#This Row],[Parcelas]],0)</f>
        <v>0</v>
      </c>
      <c r="BB4" s="22">
        <f>IF(tb_Cartao_Credito_Detalhado[[#This Row],[Parcelas]]&gt;=BB$1,tb_Cartao_Credito_Detalhado[[#This Row],[Total]]/tb_Cartao_Credito_Detalhado[[#This Row],[Parcelas]],0)</f>
        <v>0</v>
      </c>
      <c r="BC4" s="22">
        <f>IF(tb_Cartao_Credito_Detalhado[[#This Row],[Parcelas]]&gt;=BC$1,tb_Cartao_Credito_Detalhado[[#This Row],[Total]]/tb_Cartao_Credito_Detalhado[[#This Row],[Parcelas]],0)</f>
        <v>0</v>
      </c>
    </row>
    <row r="5" spans="1:55" x14ac:dyDescent="0.25">
      <c r="A5" s="12">
        <v>42767</v>
      </c>
      <c r="B5" s="2" t="s">
        <v>29</v>
      </c>
      <c r="C5" s="3" t="s">
        <v>36</v>
      </c>
      <c r="D5" s="2">
        <v>1</v>
      </c>
      <c r="E5" s="13">
        <v>400</v>
      </c>
      <c r="F5" s="14"/>
      <c r="G5" s="13"/>
      <c r="H5" s="19"/>
      <c r="I5" s="29" t="str">
        <f>IF(ISERROR(TEXT(tb_Cartao_Credito_Detalhado[[#This Row],[Data]],"mm-aaaa")),"ERRO",TEXT(tb_Cartao_Credito_Detalhado[[#This Row],[Data]],"mmm-aaaa"))</f>
        <v>fev-2017</v>
      </c>
      <c r="J5" s="26">
        <f>tb_Cartao_Credito_Detalhado[[#This Row],[Valor (R$)]]+tb_Cartao_Credito_Detalhado[[#This Row],[Valor (US$)]]*tb_Cartao_Credito_Detalhado[[#This Row],[Taxa Dólar]]</f>
        <v>400</v>
      </c>
      <c r="K5" s="22">
        <f>IF(tb_Cartao_Credito_Detalhado[[#This Row],[Parcelas]]&lt;=$K$1,tb_Cartao_Credito_Detalhado[[#This Row],[Total]],tb_Cartao_Credito_Detalhado[[#This Row],[Total]]/tb_Cartao_Credito_Detalhado[[#This Row],[Parcelas]])</f>
        <v>400</v>
      </c>
      <c r="L5" s="22">
        <f>IF(tb_Cartao_Credito_Detalhado[[#This Row],[Parcelas]]&gt;=L$1,tb_Cartao_Credito_Detalhado[[#This Row],[Total]]/tb_Cartao_Credito_Detalhado[[#This Row],[Parcelas]],0)</f>
        <v>0</v>
      </c>
      <c r="M5" s="22">
        <f>IF(tb_Cartao_Credito_Detalhado[[#This Row],[Parcelas]]&gt;=M$1,tb_Cartao_Credito_Detalhado[[#This Row],[Total]]/tb_Cartao_Credito_Detalhado[[#This Row],[Parcelas]],0)</f>
        <v>0</v>
      </c>
      <c r="N5" s="22">
        <f>IF(tb_Cartao_Credito_Detalhado[[#This Row],[Parcelas]]&gt;=N$1,tb_Cartao_Credito_Detalhado[[#This Row],[Total]]/tb_Cartao_Credito_Detalhado[[#This Row],[Parcelas]],0)</f>
        <v>0</v>
      </c>
      <c r="O5" s="22">
        <f>IF(tb_Cartao_Credito_Detalhado[[#This Row],[Parcelas]]&gt;=O$1,tb_Cartao_Credito_Detalhado[[#This Row],[Total]]/tb_Cartao_Credito_Detalhado[[#This Row],[Parcelas]],0)</f>
        <v>0</v>
      </c>
      <c r="P5" s="22">
        <f>IF(tb_Cartao_Credito_Detalhado[[#This Row],[Parcelas]]&gt;=P$1,tb_Cartao_Credito_Detalhado[[#This Row],[Total]]/tb_Cartao_Credito_Detalhado[[#This Row],[Parcelas]],0)</f>
        <v>0</v>
      </c>
      <c r="Q5" s="22">
        <f>IF(tb_Cartao_Credito_Detalhado[[#This Row],[Parcelas]]&gt;=Q$1,tb_Cartao_Credito_Detalhado[[#This Row],[Total]]/tb_Cartao_Credito_Detalhado[[#This Row],[Parcelas]],0)</f>
        <v>0</v>
      </c>
      <c r="R5" s="22">
        <f>IF(tb_Cartao_Credito_Detalhado[[#This Row],[Parcelas]]&gt;=R$1,tb_Cartao_Credito_Detalhado[[#This Row],[Total]]/tb_Cartao_Credito_Detalhado[[#This Row],[Parcelas]],0)</f>
        <v>0</v>
      </c>
      <c r="S5" s="22">
        <f>IF(tb_Cartao_Credito_Detalhado[[#This Row],[Parcelas]]&gt;=S$1,tb_Cartao_Credito_Detalhado[[#This Row],[Total]]/tb_Cartao_Credito_Detalhado[[#This Row],[Parcelas]],0)</f>
        <v>0</v>
      </c>
      <c r="T5" s="22">
        <f>IF(tb_Cartao_Credito_Detalhado[[#This Row],[Parcelas]]&gt;=T$1,tb_Cartao_Credito_Detalhado[[#This Row],[Total]]/tb_Cartao_Credito_Detalhado[[#This Row],[Parcelas]],0)</f>
        <v>0</v>
      </c>
      <c r="U5" s="22">
        <f>IF(tb_Cartao_Credito_Detalhado[[#This Row],[Parcelas]]&gt;=U$1,tb_Cartao_Credito_Detalhado[[#This Row],[Total]]/tb_Cartao_Credito_Detalhado[[#This Row],[Parcelas]],0)</f>
        <v>0</v>
      </c>
      <c r="V5" s="22">
        <f>IF(tb_Cartao_Credito_Detalhado[[#This Row],[Parcelas]]&gt;=V$1,tb_Cartao_Credito_Detalhado[[#This Row],[Total]]/tb_Cartao_Credito_Detalhado[[#This Row],[Parcelas]],0)</f>
        <v>0</v>
      </c>
      <c r="W5" s="22">
        <f>IF(tb_Cartao_Credito_Detalhado[[#This Row],[Parcelas]]&gt;=W$1,tb_Cartao_Credito_Detalhado[[#This Row],[Total]]/tb_Cartao_Credito_Detalhado[[#This Row],[Parcelas]],0)</f>
        <v>0</v>
      </c>
      <c r="X5" s="22">
        <f>IF(tb_Cartao_Credito_Detalhado[[#This Row],[Parcelas]]&gt;=X$1,tb_Cartao_Credito_Detalhado[[#This Row],[Total]]/tb_Cartao_Credito_Detalhado[[#This Row],[Parcelas]],0)</f>
        <v>0</v>
      </c>
      <c r="Y5" s="22">
        <f>IF(tb_Cartao_Credito_Detalhado[[#This Row],[Parcelas]]&gt;=Y$1,tb_Cartao_Credito_Detalhado[[#This Row],[Total]]/tb_Cartao_Credito_Detalhado[[#This Row],[Parcelas]],0)</f>
        <v>0</v>
      </c>
      <c r="Z5" s="22">
        <f>IF(tb_Cartao_Credito_Detalhado[[#This Row],[Parcelas]]&gt;=Z$1,tb_Cartao_Credito_Detalhado[[#This Row],[Total]]/tb_Cartao_Credito_Detalhado[[#This Row],[Parcelas]],0)</f>
        <v>0</v>
      </c>
      <c r="AA5" s="22">
        <f>IF(tb_Cartao_Credito_Detalhado[[#This Row],[Parcelas]]&gt;=AA$1,tb_Cartao_Credito_Detalhado[[#This Row],[Total]]/tb_Cartao_Credito_Detalhado[[#This Row],[Parcelas]],0)</f>
        <v>0</v>
      </c>
      <c r="AB5" s="22">
        <f>IF(tb_Cartao_Credito_Detalhado[[#This Row],[Parcelas]]&gt;=AB$1,tb_Cartao_Credito_Detalhado[[#This Row],[Total]]/tb_Cartao_Credito_Detalhado[[#This Row],[Parcelas]],0)</f>
        <v>0</v>
      </c>
      <c r="AC5" s="22">
        <f>IF(tb_Cartao_Credito_Detalhado[[#This Row],[Parcelas]]&gt;=AC$1,tb_Cartao_Credito_Detalhado[[#This Row],[Total]]/tb_Cartao_Credito_Detalhado[[#This Row],[Parcelas]],0)</f>
        <v>0</v>
      </c>
      <c r="AD5" s="22">
        <f>IF(tb_Cartao_Credito_Detalhado[[#This Row],[Parcelas]]&gt;=AD$1,tb_Cartao_Credito_Detalhado[[#This Row],[Total]]/tb_Cartao_Credito_Detalhado[[#This Row],[Parcelas]],0)</f>
        <v>0</v>
      </c>
      <c r="AE5" s="22">
        <f>IF(tb_Cartao_Credito_Detalhado[[#This Row],[Parcelas]]&gt;=AE$1,tb_Cartao_Credito_Detalhado[[#This Row],[Total]]/tb_Cartao_Credito_Detalhado[[#This Row],[Parcelas]],0)</f>
        <v>0</v>
      </c>
      <c r="AF5" s="22">
        <f>IF(tb_Cartao_Credito_Detalhado[[#This Row],[Parcelas]]&gt;=AF$1,tb_Cartao_Credito_Detalhado[[#This Row],[Total]]/tb_Cartao_Credito_Detalhado[[#This Row],[Parcelas]],0)</f>
        <v>0</v>
      </c>
      <c r="AG5" s="22">
        <f>IF(tb_Cartao_Credito_Detalhado[[#This Row],[Parcelas]]&gt;=AG$1,tb_Cartao_Credito_Detalhado[[#This Row],[Total]]/tb_Cartao_Credito_Detalhado[[#This Row],[Parcelas]],0)</f>
        <v>0</v>
      </c>
      <c r="AH5" s="22">
        <f>IF(tb_Cartao_Credito_Detalhado[[#This Row],[Parcelas]]&gt;=AH$1,tb_Cartao_Credito_Detalhado[[#This Row],[Total]]/tb_Cartao_Credito_Detalhado[[#This Row],[Parcelas]],0)</f>
        <v>0</v>
      </c>
      <c r="AI5" s="22">
        <f>IF(tb_Cartao_Credito_Detalhado[[#This Row],[Parcelas]]&gt;=AI$1,tb_Cartao_Credito_Detalhado[[#This Row],[Total]]/tb_Cartao_Credito_Detalhado[[#This Row],[Parcelas]],0)</f>
        <v>0</v>
      </c>
      <c r="AJ5" s="22">
        <f>IF(tb_Cartao_Credito_Detalhado[[#This Row],[Parcelas]]&gt;=AJ$1,tb_Cartao_Credito_Detalhado[[#This Row],[Total]]/tb_Cartao_Credito_Detalhado[[#This Row],[Parcelas]],0)</f>
        <v>0</v>
      </c>
      <c r="AK5" s="22">
        <f>IF(tb_Cartao_Credito_Detalhado[[#This Row],[Parcelas]]&gt;=AK$1,tb_Cartao_Credito_Detalhado[[#This Row],[Total]]/tb_Cartao_Credito_Detalhado[[#This Row],[Parcelas]],0)</f>
        <v>0</v>
      </c>
      <c r="AL5" s="22">
        <f>IF(tb_Cartao_Credito_Detalhado[[#This Row],[Parcelas]]&gt;=AL$1,tb_Cartao_Credito_Detalhado[[#This Row],[Total]]/tb_Cartao_Credito_Detalhado[[#This Row],[Parcelas]],0)</f>
        <v>0</v>
      </c>
      <c r="AM5" s="22">
        <f>IF(tb_Cartao_Credito_Detalhado[[#This Row],[Parcelas]]&gt;=AM$1,tb_Cartao_Credito_Detalhado[[#This Row],[Total]]/tb_Cartao_Credito_Detalhado[[#This Row],[Parcelas]],0)</f>
        <v>0</v>
      </c>
      <c r="AN5" s="22">
        <f>IF(tb_Cartao_Credito_Detalhado[[#This Row],[Parcelas]]&gt;=AN$1,tb_Cartao_Credito_Detalhado[[#This Row],[Total]]/tb_Cartao_Credito_Detalhado[[#This Row],[Parcelas]],0)</f>
        <v>0</v>
      </c>
      <c r="AO5" s="22">
        <f>IF(tb_Cartao_Credito_Detalhado[[#This Row],[Parcelas]]&gt;=AO$1,tb_Cartao_Credito_Detalhado[[#This Row],[Total]]/tb_Cartao_Credito_Detalhado[[#This Row],[Parcelas]],0)</f>
        <v>0</v>
      </c>
      <c r="AP5" s="22">
        <f>IF(tb_Cartao_Credito_Detalhado[[#This Row],[Parcelas]]&gt;=AP$1,tb_Cartao_Credito_Detalhado[[#This Row],[Total]]/tb_Cartao_Credito_Detalhado[[#This Row],[Parcelas]],0)</f>
        <v>0</v>
      </c>
      <c r="AQ5" s="22">
        <f>IF(tb_Cartao_Credito_Detalhado[[#This Row],[Parcelas]]&gt;=AQ$1,tb_Cartao_Credito_Detalhado[[#This Row],[Total]]/tb_Cartao_Credito_Detalhado[[#This Row],[Parcelas]],0)</f>
        <v>0</v>
      </c>
      <c r="AR5" s="22">
        <f>IF(tb_Cartao_Credito_Detalhado[[#This Row],[Parcelas]]&gt;=AR$1,tb_Cartao_Credito_Detalhado[[#This Row],[Total]]/tb_Cartao_Credito_Detalhado[[#This Row],[Parcelas]],0)</f>
        <v>0</v>
      </c>
      <c r="AS5" s="22">
        <f>IF(tb_Cartao_Credito_Detalhado[[#This Row],[Parcelas]]&gt;=AS$1,tb_Cartao_Credito_Detalhado[[#This Row],[Total]]/tb_Cartao_Credito_Detalhado[[#This Row],[Parcelas]],0)</f>
        <v>0</v>
      </c>
      <c r="AT5" s="22">
        <f>IF(tb_Cartao_Credito_Detalhado[[#This Row],[Parcelas]]&gt;=AT$1,tb_Cartao_Credito_Detalhado[[#This Row],[Total]]/tb_Cartao_Credito_Detalhado[[#This Row],[Parcelas]],0)</f>
        <v>0</v>
      </c>
      <c r="AU5" s="22">
        <f>IF(tb_Cartao_Credito_Detalhado[[#This Row],[Parcelas]]&gt;=AU$1,tb_Cartao_Credito_Detalhado[[#This Row],[Total]]/tb_Cartao_Credito_Detalhado[[#This Row],[Parcelas]],0)</f>
        <v>0</v>
      </c>
      <c r="AV5" s="22">
        <f>IF(tb_Cartao_Credito_Detalhado[[#This Row],[Parcelas]]&gt;=AV$1,tb_Cartao_Credito_Detalhado[[#This Row],[Total]]/tb_Cartao_Credito_Detalhado[[#This Row],[Parcelas]],0)</f>
        <v>0</v>
      </c>
      <c r="AW5" s="22">
        <f>IF(tb_Cartao_Credito_Detalhado[[#This Row],[Parcelas]]&gt;=AW$1,tb_Cartao_Credito_Detalhado[[#This Row],[Total]]/tb_Cartao_Credito_Detalhado[[#This Row],[Parcelas]],0)</f>
        <v>0</v>
      </c>
      <c r="AX5" s="22">
        <f>IF(tb_Cartao_Credito_Detalhado[[#This Row],[Parcelas]]&gt;=AX$1,tb_Cartao_Credito_Detalhado[[#This Row],[Total]]/tb_Cartao_Credito_Detalhado[[#This Row],[Parcelas]],0)</f>
        <v>0</v>
      </c>
      <c r="AY5" s="22">
        <f>IF(tb_Cartao_Credito_Detalhado[[#This Row],[Parcelas]]&gt;=AY$1,tb_Cartao_Credito_Detalhado[[#This Row],[Total]]/tb_Cartao_Credito_Detalhado[[#This Row],[Parcelas]],0)</f>
        <v>0</v>
      </c>
      <c r="AZ5" s="22">
        <f>IF(tb_Cartao_Credito_Detalhado[[#This Row],[Parcelas]]&gt;=AZ$1,tb_Cartao_Credito_Detalhado[[#This Row],[Total]]/tb_Cartao_Credito_Detalhado[[#This Row],[Parcelas]],0)</f>
        <v>0</v>
      </c>
      <c r="BA5" s="22">
        <f>IF(tb_Cartao_Credito_Detalhado[[#This Row],[Parcelas]]&gt;=BA$1,tb_Cartao_Credito_Detalhado[[#This Row],[Total]]/tb_Cartao_Credito_Detalhado[[#This Row],[Parcelas]],0)</f>
        <v>0</v>
      </c>
      <c r="BB5" s="22">
        <f>IF(tb_Cartao_Credito_Detalhado[[#This Row],[Parcelas]]&gt;=BB$1,tb_Cartao_Credito_Detalhado[[#This Row],[Total]]/tb_Cartao_Credito_Detalhado[[#This Row],[Parcelas]],0)</f>
        <v>0</v>
      </c>
      <c r="BC5" s="22">
        <f>IF(tb_Cartao_Credito_Detalhado[[#This Row],[Parcelas]]&gt;=BC$1,tb_Cartao_Credito_Detalhado[[#This Row],[Total]]/tb_Cartao_Credito_Detalhado[[#This Row],[Parcelas]],0)</f>
        <v>0</v>
      </c>
    </row>
    <row r="6" spans="1:55" x14ac:dyDescent="0.25">
      <c r="A6" s="12">
        <v>42796</v>
      </c>
      <c r="B6" s="2" t="s">
        <v>29</v>
      </c>
      <c r="C6" s="3" t="s">
        <v>37</v>
      </c>
      <c r="D6" s="2">
        <v>5</v>
      </c>
      <c r="E6" s="13">
        <v>680.45</v>
      </c>
      <c r="F6" s="14"/>
      <c r="G6" s="13"/>
      <c r="H6" s="19"/>
      <c r="I6" s="29" t="str">
        <f>IF(ISERROR(TEXT(tb_Cartao_Credito_Detalhado[[#This Row],[Data]],"mm-aaaa")),"ERRO",TEXT(tb_Cartao_Credito_Detalhado[[#This Row],[Data]],"mmm-aaaa"))</f>
        <v>mar-2017</v>
      </c>
      <c r="J6" s="26">
        <f>tb_Cartao_Credito_Detalhado[[#This Row],[Valor (R$)]]+tb_Cartao_Credito_Detalhado[[#This Row],[Valor (US$)]]*tb_Cartao_Credito_Detalhado[[#This Row],[Taxa Dólar]]</f>
        <v>680.45</v>
      </c>
      <c r="K6" s="22">
        <f>IF(tb_Cartao_Credito_Detalhado[[#This Row],[Parcelas]]&lt;=$K$1,tb_Cartao_Credito_Detalhado[[#This Row],[Total]],tb_Cartao_Credito_Detalhado[[#This Row],[Total]]/tb_Cartao_Credito_Detalhado[[#This Row],[Parcelas]])</f>
        <v>136.09</v>
      </c>
      <c r="L6" s="22">
        <f>IF(tb_Cartao_Credito_Detalhado[[#This Row],[Parcelas]]&gt;=L$1,tb_Cartao_Credito_Detalhado[[#This Row],[Total]]/tb_Cartao_Credito_Detalhado[[#This Row],[Parcelas]],0)</f>
        <v>136.09</v>
      </c>
      <c r="M6" s="22">
        <f>IF(tb_Cartao_Credito_Detalhado[[#This Row],[Parcelas]]&gt;=M$1,tb_Cartao_Credito_Detalhado[[#This Row],[Total]]/tb_Cartao_Credito_Detalhado[[#This Row],[Parcelas]],0)</f>
        <v>136.09</v>
      </c>
      <c r="N6" s="22">
        <f>IF(tb_Cartao_Credito_Detalhado[[#This Row],[Parcelas]]&gt;=N$1,tb_Cartao_Credito_Detalhado[[#This Row],[Total]]/tb_Cartao_Credito_Detalhado[[#This Row],[Parcelas]],0)</f>
        <v>136.09</v>
      </c>
      <c r="O6" s="22">
        <f>IF(tb_Cartao_Credito_Detalhado[[#This Row],[Parcelas]]&gt;=O$1,tb_Cartao_Credito_Detalhado[[#This Row],[Total]]/tb_Cartao_Credito_Detalhado[[#This Row],[Parcelas]],0)</f>
        <v>136.09</v>
      </c>
      <c r="P6" s="22">
        <f>IF(tb_Cartao_Credito_Detalhado[[#This Row],[Parcelas]]&gt;=P$1,tb_Cartao_Credito_Detalhado[[#This Row],[Total]]/tb_Cartao_Credito_Detalhado[[#This Row],[Parcelas]],0)</f>
        <v>0</v>
      </c>
      <c r="Q6" s="22">
        <f>IF(tb_Cartao_Credito_Detalhado[[#This Row],[Parcelas]]&gt;=Q$1,tb_Cartao_Credito_Detalhado[[#This Row],[Total]]/tb_Cartao_Credito_Detalhado[[#This Row],[Parcelas]],0)</f>
        <v>0</v>
      </c>
      <c r="R6" s="22">
        <f>IF(tb_Cartao_Credito_Detalhado[[#This Row],[Parcelas]]&gt;=R$1,tb_Cartao_Credito_Detalhado[[#This Row],[Total]]/tb_Cartao_Credito_Detalhado[[#This Row],[Parcelas]],0)</f>
        <v>0</v>
      </c>
      <c r="S6" s="22">
        <f>IF(tb_Cartao_Credito_Detalhado[[#This Row],[Parcelas]]&gt;=S$1,tb_Cartao_Credito_Detalhado[[#This Row],[Total]]/tb_Cartao_Credito_Detalhado[[#This Row],[Parcelas]],0)</f>
        <v>0</v>
      </c>
      <c r="T6" s="22">
        <f>IF(tb_Cartao_Credito_Detalhado[[#This Row],[Parcelas]]&gt;=T$1,tb_Cartao_Credito_Detalhado[[#This Row],[Total]]/tb_Cartao_Credito_Detalhado[[#This Row],[Parcelas]],0)</f>
        <v>0</v>
      </c>
      <c r="U6" s="22">
        <f>IF(tb_Cartao_Credito_Detalhado[[#This Row],[Parcelas]]&gt;=U$1,tb_Cartao_Credito_Detalhado[[#This Row],[Total]]/tb_Cartao_Credito_Detalhado[[#This Row],[Parcelas]],0)</f>
        <v>0</v>
      </c>
      <c r="V6" s="22">
        <f>IF(tb_Cartao_Credito_Detalhado[[#This Row],[Parcelas]]&gt;=V$1,tb_Cartao_Credito_Detalhado[[#This Row],[Total]]/tb_Cartao_Credito_Detalhado[[#This Row],[Parcelas]],0)</f>
        <v>0</v>
      </c>
      <c r="W6" s="22">
        <f>IF(tb_Cartao_Credito_Detalhado[[#This Row],[Parcelas]]&gt;=W$1,tb_Cartao_Credito_Detalhado[[#This Row],[Total]]/tb_Cartao_Credito_Detalhado[[#This Row],[Parcelas]],0)</f>
        <v>0</v>
      </c>
      <c r="X6" s="22">
        <f>IF(tb_Cartao_Credito_Detalhado[[#This Row],[Parcelas]]&gt;=X$1,tb_Cartao_Credito_Detalhado[[#This Row],[Total]]/tb_Cartao_Credito_Detalhado[[#This Row],[Parcelas]],0)</f>
        <v>0</v>
      </c>
      <c r="Y6" s="22">
        <f>IF(tb_Cartao_Credito_Detalhado[[#This Row],[Parcelas]]&gt;=Y$1,tb_Cartao_Credito_Detalhado[[#This Row],[Total]]/tb_Cartao_Credito_Detalhado[[#This Row],[Parcelas]],0)</f>
        <v>0</v>
      </c>
      <c r="Z6" s="22">
        <f>IF(tb_Cartao_Credito_Detalhado[[#This Row],[Parcelas]]&gt;=Z$1,tb_Cartao_Credito_Detalhado[[#This Row],[Total]]/tb_Cartao_Credito_Detalhado[[#This Row],[Parcelas]],0)</f>
        <v>0</v>
      </c>
      <c r="AA6" s="22">
        <f>IF(tb_Cartao_Credito_Detalhado[[#This Row],[Parcelas]]&gt;=AA$1,tb_Cartao_Credito_Detalhado[[#This Row],[Total]]/tb_Cartao_Credito_Detalhado[[#This Row],[Parcelas]],0)</f>
        <v>0</v>
      </c>
      <c r="AB6" s="22">
        <f>IF(tb_Cartao_Credito_Detalhado[[#This Row],[Parcelas]]&gt;=AB$1,tb_Cartao_Credito_Detalhado[[#This Row],[Total]]/tb_Cartao_Credito_Detalhado[[#This Row],[Parcelas]],0)</f>
        <v>0</v>
      </c>
      <c r="AC6" s="22">
        <f>IF(tb_Cartao_Credito_Detalhado[[#This Row],[Parcelas]]&gt;=AC$1,tb_Cartao_Credito_Detalhado[[#This Row],[Total]]/tb_Cartao_Credito_Detalhado[[#This Row],[Parcelas]],0)</f>
        <v>0</v>
      </c>
      <c r="AD6" s="22">
        <f>IF(tb_Cartao_Credito_Detalhado[[#This Row],[Parcelas]]&gt;=AD$1,tb_Cartao_Credito_Detalhado[[#This Row],[Total]]/tb_Cartao_Credito_Detalhado[[#This Row],[Parcelas]],0)</f>
        <v>0</v>
      </c>
      <c r="AE6" s="22">
        <f>IF(tb_Cartao_Credito_Detalhado[[#This Row],[Parcelas]]&gt;=AE$1,tb_Cartao_Credito_Detalhado[[#This Row],[Total]]/tb_Cartao_Credito_Detalhado[[#This Row],[Parcelas]],0)</f>
        <v>0</v>
      </c>
      <c r="AF6" s="22">
        <f>IF(tb_Cartao_Credito_Detalhado[[#This Row],[Parcelas]]&gt;=AF$1,tb_Cartao_Credito_Detalhado[[#This Row],[Total]]/tb_Cartao_Credito_Detalhado[[#This Row],[Parcelas]],0)</f>
        <v>0</v>
      </c>
      <c r="AG6" s="22">
        <f>IF(tb_Cartao_Credito_Detalhado[[#This Row],[Parcelas]]&gt;=AG$1,tb_Cartao_Credito_Detalhado[[#This Row],[Total]]/tb_Cartao_Credito_Detalhado[[#This Row],[Parcelas]],0)</f>
        <v>0</v>
      </c>
      <c r="AH6" s="22">
        <f>IF(tb_Cartao_Credito_Detalhado[[#This Row],[Parcelas]]&gt;=AH$1,tb_Cartao_Credito_Detalhado[[#This Row],[Total]]/tb_Cartao_Credito_Detalhado[[#This Row],[Parcelas]],0)</f>
        <v>0</v>
      </c>
      <c r="AI6" s="22">
        <f>IF(tb_Cartao_Credito_Detalhado[[#This Row],[Parcelas]]&gt;=AI$1,tb_Cartao_Credito_Detalhado[[#This Row],[Total]]/tb_Cartao_Credito_Detalhado[[#This Row],[Parcelas]],0)</f>
        <v>0</v>
      </c>
      <c r="AJ6" s="22">
        <f>IF(tb_Cartao_Credito_Detalhado[[#This Row],[Parcelas]]&gt;=AJ$1,tb_Cartao_Credito_Detalhado[[#This Row],[Total]]/tb_Cartao_Credito_Detalhado[[#This Row],[Parcelas]],0)</f>
        <v>0</v>
      </c>
      <c r="AK6" s="22">
        <f>IF(tb_Cartao_Credito_Detalhado[[#This Row],[Parcelas]]&gt;=AK$1,tb_Cartao_Credito_Detalhado[[#This Row],[Total]]/tb_Cartao_Credito_Detalhado[[#This Row],[Parcelas]],0)</f>
        <v>0</v>
      </c>
      <c r="AL6" s="22">
        <f>IF(tb_Cartao_Credito_Detalhado[[#This Row],[Parcelas]]&gt;=AL$1,tb_Cartao_Credito_Detalhado[[#This Row],[Total]]/tb_Cartao_Credito_Detalhado[[#This Row],[Parcelas]],0)</f>
        <v>0</v>
      </c>
      <c r="AM6" s="22">
        <f>IF(tb_Cartao_Credito_Detalhado[[#This Row],[Parcelas]]&gt;=AM$1,tb_Cartao_Credito_Detalhado[[#This Row],[Total]]/tb_Cartao_Credito_Detalhado[[#This Row],[Parcelas]],0)</f>
        <v>0</v>
      </c>
      <c r="AN6" s="22">
        <f>IF(tb_Cartao_Credito_Detalhado[[#This Row],[Parcelas]]&gt;=AN$1,tb_Cartao_Credito_Detalhado[[#This Row],[Total]]/tb_Cartao_Credito_Detalhado[[#This Row],[Parcelas]],0)</f>
        <v>0</v>
      </c>
      <c r="AO6" s="22">
        <f>IF(tb_Cartao_Credito_Detalhado[[#This Row],[Parcelas]]&gt;=AO$1,tb_Cartao_Credito_Detalhado[[#This Row],[Total]]/tb_Cartao_Credito_Detalhado[[#This Row],[Parcelas]],0)</f>
        <v>0</v>
      </c>
      <c r="AP6" s="22">
        <f>IF(tb_Cartao_Credito_Detalhado[[#This Row],[Parcelas]]&gt;=AP$1,tb_Cartao_Credito_Detalhado[[#This Row],[Total]]/tb_Cartao_Credito_Detalhado[[#This Row],[Parcelas]],0)</f>
        <v>0</v>
      </c>
      <c r="AQ6" s="22">
        <f>IF(tb_Cartao_Credito_Detalhado[[#This Row],[Parcelas]]&gt;=AQ$1,tb_Cartao_Credito_Detalhado[[#This Row],[Total]]/tb_Cartao_Credito_Detalhado[[#This Row],[Parcelas]],0)</f>
        <v>0</v>
      </c>
      <c r="AR6" s="22">
        <f>IF(tb_Cartao_Credito_Detalhado[[#This Row],[Parcelas]]&gt;=AR$1,tb_Cartao_Credito_Detalhado[[#This Row],[Total]]/tb_Cartao_Credito_Detalhado[[#This Row],[Parcelas]],0)</f>
        <v>0</v>
      </c>
      <c r="AS6" s="22">
        <f>IF(tb_Cartao_Credito_Detalhado[[#This Row],[Parcelas]]&gt;=AS$1,tb_Cartao_Credito_Detalhado[[#This Row],[Total]]/tb_Cartao_Credito_Detalhado[[#This Row],[Parcelas]],0)</f>
        <v>0</v>
      </c>
      <c r="AT6" s="22">
        <f>IF(tb_Cartao_Credito_Detalhado[[#This Row],[Parcelas]]&gt;=AT$1,tb_Cartao_Credito_Detalhado[[#This Row],[Total]]/tb_Cartao_Credito_Detalhado[[#This Row],[Parcelas]],0)</f>
        <v>0</v>
      </c>
      <c r="AU6" s="22">
        <f>IF(tb_Cartao_Credito_Detalhado[[#This Row],[Parcelas]]&gt;=AU$1,tb_Cartao_Credito_Detalhado[[#This Row],[Total]]/tb_Cartao_Credito_Detalhado[[#This Row],[Parcelas]],0)</f>
        <v>0</v>
      </c>
      <c r="AV6" s="22">
        <f>IF(tb_Cartao_Credito_Detalhado[[#This Row],[Parcelas]]&gt;=AV$1,tb_Cartao_Credito_Detalhado[[#This Row],[Total]]/tb_Cartao_Credito_Detalhado[[#This Row],[Parcelas]],0)</f>
        <v>0</v>
      </c>
      <c r="AW6" s="22">
        <f>IF(tb_Cartao_Credito_Detalhado[[#This Row],[Parcelas]]&gt;=AW$1,tb_Cartao_Credito_Detalhado[[#This Row],[Total]]/tb_Cartao_Credito_Detalhado[[#This Row],[Parcelas]],0)</f>
        <v>0</v>
      </c>
      <c r="AX6" s="22">
        <f>IF(tb_Cartao_Credito_Detalhado[[#This Row],[Parcelas]]&gt;=AX$1,tb_Cartao_Credito_Detalhado[[#This Row],[Total]]/tb_Cartao_Credito_Detalhado[[#This Row],[Parcelas]],0)</f>
        <v>0</v>
      </c>
      <c r="AY6" s="22">
        <f>IF(tb_Cartao_Credito_Detalhado[[#This Row],[Parcelas]]&gt;=AY$1,tb_Cartao_Credito_Detalhado[[#This Row],[Total]]/tb_Cartao_Credito_Detalhado[[#This Row],[Parcelas]],0)</f>
        <v>0</v>
      </c>
      <c r="AZ6" s="22">
        <f>IF(tb_Cartao_Credito_Detalhado[[#This Row],[Parcelas]]&gt;=AZ$1,tb_Cartao_Credito_Detalhado[[#This Row],[Total]]/tb_Cartao_Credito_Detalhado[[#This Row],[Parcelas]],0)</f>
        <v>0</v>
      </c>
      <c r="BA6" s="22">
        <f>IF(tb_Cartao_Credito_Detalhado[[#This Row],[Parcelas]]&gt;=BA$1,tb_Cartao_Credito_Detalhado[[#This Row],[Total]]/tb_Cartao_Credito_Detalhado[[#This Row],[Parcelas]],0)</f>
        <v>0</v>
      </c>
      <c r="BB6" s="22">
        <f>IF(tb_Cartao_Credito_Detalhado[[#This Row],[Parcelas]]&gt;=BB$1,tb_Cartao_Credito_Detalhado[[#This Row],[Total]]/tb_Cartao_Credito_Detalhado[[#This Row],[Parcelas]],0)</f>
        <v>0</v>
      </c>
      <c r="BC6" s="22">
        <f>IF(tb_Cartao_Credito_Detalhado[[#This Row],[Parcelas]]&gt;=BC$1,tb_Cartao_Credito_Detalhado[[#This Row],[Total]]/tb_Cartao_Credito_Detalhado[[#This Row],[Parcelas]],0)</f>
        <v>0</v>
      </c>
    </row>
    <row r="7" spans="1:55" x14ac:dyDescent="0.25">
      <c r="A7" s="12">
        <v>42767</v>
      </c>
      <c r="B7" s="12" t="s">
        <v>29</v>
      </c>
      <c r="C7" s="3" t="s">
        <v>87</v>
      </c>
      <c r="D7" s="2"/>
      <c r="E7" s="13">
        <v>36</v>
      </c>
      <c r="F7" s="14"/>
      <c r="G7" s="13"/>
      <c r="H7" s="19"/>
      <c r="I7" s="29" t="str">
        <f>IF(ISERROR(TEXT(tb_Cartao_Credito_Detalhado[[#This Row],[Data]],"mm-aaaa")),"ERRO",TEXT(tb_Cartao_Credito_Detalhado[[#This Row],[Data]],"mmm-aaaa"))</f>
        <v>fev-2017</v>
      </c>
      <c r="J7" s="26">
        <f>tb_Cartao_Credito_Detalhado[[#This Row],[Valor (R$)]]+tb_Cartao_Credito_Detalhado[[#This Row],[Valor (US$)]]*tb_Cartao_Credito_Detalhado[[#This Row],[Taxa Dólar]]</f>
        <v>36</v>
      </c>
      <c r="K7" s="22">
        <f>IF(tb_Cartao_Credito_Detalhado[[#This Row],[Parcelas]]&lt;=$K$1,tb_Cartao_Credito_Detalhado[[#This Row],[Total]],tb_Cartao_Credito_Detalhado[[#This Row],[Total]]/tb_Cartao_Credito_Detalhado[[#This Row],[Parcelas]])</f>
        <v>36</v>
      </c>
      <c r="L7" s="22">
        <f>IF(tb_Cartao_Credito_Detalhado[[#This Row],[Parcelas]]&gt;=L$1,tb_Cartao_Credito_Detalhado[[#This Row],[Total]]/tb_Cartao_Credito_Detalhado[[#This Row],[Parcelas]],0)</f>
        <v>0</v>
      </c>
      <c r="M7" s="22">
        <f>IF(tb_Cartao_Credito_Detalhado[[#This Row],[Parcelas]]&gt;=M$1,tb_Cartao_Credito_Detalhado[[#This Row],[Total]]/tb_Cartao_Credito_Detalhado[[#This Row],[Parcelas]],0)</f>
        <v>0</v>
      </c>
      <c r="N7" s="22">
        <f>IF(tb_Cartao_Credito_Detalhado[[#This Row],[Parcelas]]&gt;=N$1,tb_Cartao_Credito_Detalhado[[#This Row],[Total]]/tb_Cartao_Credito_Detalhado[[#This Row],[Parcelas]],0)</f>
        <v>0</v>
      </c>
      <c r="O7" s="22">
        <f>IF(tb_Cartao_Credito_Detalhado[[#This Row],[Parcelas]]&gt;=O$1,tb_Cartao_Credito_Detalhado[[#This Row],[Total]]/tb_Cartao_Credito_Detalhado[[#This Row],[Parcelas]],0)</f>
        <v>0</v>
      </c>
      <c r="P7" s="22">
        <f>IF(tb_Cartao_Credito_Detalhado[[#This Row],[Parcelas]]&gt;=P$1,tb_Cartao_Credito_Detalhado[[#This Row],[Total]]/tb_Cartao_Credito_Detalhado[[#This Row],[Parcelas]],0)</f>
        <v>0</v>
      </c>
      <c r="Q7" s="22">
        <f>IF(tb_Cartao_Credito_Detalhado[[#This Row],[Parcelas]]&gt;=Q$1,tb_Cartao_Credito_Detalhado[[#This Row],[Total]]/tb_Cartao_Credito_Detalhado[[#This Row],[Parcelas]],0)</f>
        <v>0</v>
      </c>
      <c r="R7" s="22">
        <f>IF(tb_Cartao_Credito_Detalhado[[#This Row],[Parcelas]]&gt;=R$1,tb_Cartao_Credito_Detalhado[[#This Row],[Total]]/tb_Cartao_Credito_Detalhado[[#This Row],[Parcelas]],0)</f>
        <v>0</v>
      </c>
      <c r="S7" s="22">
        <f>IF(tb_Cartao_Credito_Detalhado[[#This Row],[Parcelas]]&gt;=S$1,tb_Cartao_Credito_Detalhado[[#This Row],[Total]]/tb_Cartao_Credito_Detalhado[[#This Row],[Parcelas]],0)</f>
        <v>0</v>
      </c>
      <c r="T7" s="22">
        <f>IF(tb_Cartao_Credito_Detalhado[[#This Row],[Parcelas]]&gt;=T$1,tb_Cartao_Credito_Detalhado[[#This Row],[Total]]/tb_Cartao_Credito_Detalhado[[#This Row],[Parcelas]],0)</f>
        <v>0</v>
      </c>
      <c r="U7" s="22">
        <f>IF(tb_Cartao_Credito_Detalhado[[#This Row],[Parcelas]]&gt;=U$1,tb_Cartao_Credito_Detalhado[[#This Row],[Total]]/tb_Cartao_Credito_Detalhado[[#This Row],[Parcelas]],0)</f>
        <v>0</v>
      </c>
      <c r="V7" s="22">
        <f>IF(tb_Cartao_Credito_Detalhado[[#This Row],[Parcelas]]&gt;=V$1,tb_Cartao_Credito_Detalhado[[#This Row],[Total]]/tb_Cartao_Credito_Detalhado[[#This Row],[Parcelas]],0)</f>
        <v>0</v>
      </c>
      <c r="W7" s="22">
        <f>IF(tb_Cartao_Credito_Detalhado[[#This Row],[Parcelas]]&gt;=W$1,tb_Cartao_Credito_Detalhado[[#This Row],[Total]]/tb_Cartao_Credito_Detalhado[[#This Row],[Parcelas]],0)</f>
        <v>0</v>
      </c>
      <c r="X7" s="22">
        <f>IF(tb_Cartao_Credito_Detalhado[[#This Row],[Parcelas]]&gt;=X$1,tb_Cartao_Credito_Detalhado[[#This Row],[Total]]/tb_Cartao_Credito_Detalhado[[#This Row],[Parcelas]],0)</f>
        <v>0</v>
      </c>
      <c r="Y7" s="22">
        <f>IF(tb_Cartao_Credito_Detalhado[[#This Row],[Parcelas]]&gt;=Y$1,tb_Cartao_Credito_Detalhado[[#This Row],[Total]]/tb_Cartao_Credito_Detalhado[[#This Row],[Parcelas]],0)</f>
        <v>0</v>
      </c>
      <c r="Z7" s="22">
        <f>IF(tb_Cartao_Credito_Detalhado[[#This Row],[Parcelas]]&gt;=Z$1,tb_Cartao_Credito_Detalhado[[#This Row],[Total]]/tb_Cartao_Credito_Detalhado[[#This Row],[Parcelas]],0)</f>
        <v>0</v>
      </c>
      <c r="AA7" s="22">
        <f>IF(tb_Cartao_Credito_Detalhado[[#This Row],[Parcelas]]&gt;=AA$1,tb_Cartao_Credito_Detalhado[[#This Row],[Total]]/tb_Cartao_Credito_Detalhado[[#This Row],[Parcelas]],0)</f>
        <v>0</v>
      </c>
      <c r="AB7" s="22">
        <f>IF(tb_Cartao_Credito_Detalhado[[#This Row],[Parcelas]]&gt;=AB$1,tb_Cartao_Credito_Detalhado[[#This Row],[Total]]/tb_Cartao_Credito_Detalhado[[#This Row],[Parcelas]],0)</f>
        <v>0</v>
      </c>
      <c r="AC7" s="22">
        <f>IF(tb_Cartao_Credito_Detalhado[[#This Row],[Parcelas]]&gt;=AC$1,tb_Cartao_Credito_Detalhado[[#This Row],[Total]]/tb_Cartao_Credito_Detalhado[[#This Row],[Parcelas]],0)</f>
        <v>0</v>
      </c>
      <c r="AD7" s="22">
        <f>IF(tb_Cartao_Credito_Detalhado[[#This Row],[Parcelas]]&gt;=AD$1,tb_Cartao_Credito_Detalhado[[#This Row],[Total]]/tb_Cartao_Credito_Detalhado[[#This Row],[Parcelas]],0)</f>
        <v>0</v>
      </c>
      <c r="AE7" s="22">
        <f>IF(tb_Cartao_Credito_Detalhado[[#This Row],[Parcelas]]&gt;=AE$1,tb_Cartao_Credito_Detalhado[[#This Row],[Total]]/tb_Cartao_Credito_Detalhado[[#This Row],[Parcelas]],0)</f>
        <v>0</v>
      </c>
      <c r="AF7" s="22">
        <f>IF(tb_Cartao_Credito_Detalhado[[#This Row],[Parcelas]]&gt;=AF$1,tb_Cartao_Credito_Detalhado[[#This Row],[Total]]/tb_Cartao_Credito_Detalhado[[#This Row],[Parcelas]],0)</f>
        <v>0</v>
      </c>
      <c r="AG7" s="22">
        <f>IF(tb_Cartao_Credito_Detalhado[[#This Row],[Parcelas]]&gt;=AG$1,tb_Cartao_Credito_Detalhado[[#This Row],[Total]]/tb_Cartao_Credito_Detalhado[[#This Row],[Parcelas]],0)</f>
        <v>0</v>
      </c>
      <c r="AH7" s="22">
        <f>IF(tb_Cartao_Credito_Detalhado[[#This Row],[Parcelas]]&gt;=AH$1,tb_Cartao_Credito_Detalhado[[#This Row],[Total]]/tb_Cartao_Credito_Detalhado[[#This Row],[Parcelas]],0)</f>
        <v>0</v>
      </c>
      <c r="AI7" s="22">
        <f>IF(tb_Cartao_Credito_Detalhado[[#This Row],[Parcelas]]&gt;=AI$1,tb_Cartao_Credito_Detalhado[[#This Row],[Total]]/tb_Cartao_Credito_Detalhado[[#This Row],[Parcelas]],0)</f>
        <v>0</v>
      </c>
      <c r="AJ7" s="22">
        <f>IF(tb_Cartao_Credito_Detalhado[[#This Row],[Parcelas]]&gt;=AJ$1,tb_Cartao_Credito_Detalhado[[#This Row],[Total]]/tb_Cartao_Credito_Detalhado[[#This Row],[Parcelas]],0)</f>
        <v>0</v>
      </c>
      <c r="AK7" s="22">
        <f>IF(tb_Cartao_Credito_Detalhado[[#This Row],[Parcelas]]&gt;=AK$1,tb_Cartao_Credito_Detalhado[[#This Row],[Total]]/tb_Cartao_Credito_Detalhado[[#This Row],[Parcelas]],0)</f>
        <v>0</v>
      </c>
      <c r="AL7" s="22">
        <f>IF(tb_Cartao_Credito_Detalhado[[#This Row],[Parcelas]]&gt;=AL$1,tb_Cartao_Credito_Detalhado[[#This Row],[Total]]/tb_Cartao_Credito_Detalhado[[#This Row],[Parcelas]],0)</f>
        <v>0</v>
      </c>
      <c r="AM7" s="22">
        <f>IF(tb_Cartao_Credito_Detalhado[[#This Row],[Parcelas]]&gt;=AM$1,tb_Cartao_Credito_Detalhado[[#This Row],[Total]]/tb_Cartao_Credito_Detalhado[[#This Row],[Parcelas]],0)</f>
        <v>0</v>
      </c>
      <c r="AN7" s="22">
        <f>IF(tb_Cartao_Credito_Detalhado[[#This Row],[Parcelas]]&gt;=AN$1,tb_Cartao_Credito_Detalhado[[#This Row],[Total]]/tb_Cartao_Credito_Detalhado[[#This Row],[Parcelas]],0)</f>
        <v>0</v>
      </c>
      <c r="AO7" s="22">
        <f>IF(tb_Cartao_Credito_Detalhado[[#This Row],[Parcelas]]&gt;=AO$1,tb_Cartao_Credito_Detalhado[[#This Row],[Total]]/tb_Cartao_Credito_Detalhado[[#This Row],[Parcelas]],0)</f>
        <v>0</v>
      </c>
      <c r="AP7" s="22">
        <f>IF(tb_Cartao_Credito_Detalhado[[#This Row],[Parcelas]]&gt;=AP$1,tb_Cartao_Credito_Detalhado[[#This Row],[Total]]/tb_Cartao_Credito_Detalhado[[#This Row],[Parcelas]],0)</f>
        <v>0</v>
      </c>
      <c r="AQ7" s="22">
        <f>IF(tb_Cartao_Credito_Detalhado[[#This Row],[Parcelas]]&gt;=AQ$1,tb_Cartao_Credito_Detalhado[[#This Row],[Total]]/tb_Cartao_Credito_Detalhado[[#This Row],[Parcelas]],0)</f>
        <v>0</v>
      </c>
      <c r="AR7" s="22">
        <f>IF(tb_Cartao_Credito_Detalhado[[#This Row],[Parcelas]]&gt;=AR$1,tb_Cartao_Credito_Detalhado[[#This Row],[Total]]/tb_Cartao_Credito_Detalhado[[#This Row],[Parcelas]],0)</f>
        <v>0</v>
      </c>
      <c r="AS7" s="22">
        <f>IF(tb_Cartao_Credito_Detalhado[[#This Row],[Parcelas]]&gt;=AS$1,tb_Cartao_Credito_Detalhado[[#This Row],[Total]]/tb_Cartao_Credito_Detalhado[[#This Row],[Parcelas]],0)</f>
        <v>0</v>
      </c>
      <c r="AT7" s="22">
        <f>IF(tb_Cartao_Credito_Detalhado[[#This Row],[Parcelas]]&gt;=AT$1,tb_Cartao_Credito_Detalhado[[#This Row],[Total]]/tb_Cartao_Credito_Detalhado[[#This Row],[Parcelas]],0)</f>
        <v>0</v>
      </c>
      <c r="AU7" s="22">
        <f>IF(tb_Cartao_Credito_Detalhado[[#This Row],[Parcelas]]&gt;=AU$1,tb_Cartao_Credito_Detalhado[[#This Row],[Total]]/tb_Cartao_Credito_Detalhado[[#This Row],[Parcelas]],0)</f>
        <v>0</v>
      </c>
      <c r="AV7" s="22">
        <f>IF(tb_Cartao_Credito_Detalhado[[#This Row],[Parcelas]]&gt;=AV$1,tb_Cartao_Credito_Detalhado[[#This Row],[Total]]/tb_Cartao_Credito_Detalhado[[#This Row],[Parcelas]],0)</f>
        <v>0</v>
      </c>
      <c r="AW7" s="22">
        <f>IF(tb_Cartao_Credito_Detalhado[[#This Row],[Parcelas]]&gt;=AW$1,tb_Cartao_Credito_Detalhado[[#This Row],[Total]]/tb_Cartao_Credito_Detalhado[[#This Row],[Parcelas]],0)</f>
        <v>0</v>
      </c>
      <c r="AX7" s="22">
        <f>IF(tb_Cartao_Credito_Detalhado[[#This Row],[Parcelas]]&gt;=AX$1,tb_Cartao_Credito_Detalhado[[#This Row],[Total]]/tb_Cartao_Credito_Detalhado[[#This Row],[Parcelas]],0)</f>
        <v>0</v>
      </c>
      <c r="AY7" s="22">
        <f>IF(tb_Cartao_Credito_Detalhado[[#This Row],[Parcelas]]&gt;=AY$1,tb_Cartao_Credito_Detalhado[[#This Row],[Total]]/tb_Cartao_Credito_Detalhado[[#This Row],[Parcelas]],0)</f>
        <v>0</v>
      </c>
      <c r="AZ7" s="22">
        <f>IF(tb_Cartao_Credito_Detalhado[[#This Row],[Parcelas]]&gt;=AZ$1,tb_Cartao_Credito_Detalhado[[#This Row],[Total]]/tb_Cartao_Credito_Detalhado[[#This Row],[Parcelas]],0)</f>
        <v>0</v>
      </c>
      <c r="BA7" s="22">
        <f>IF(tb_Cartao_Credito_Detalhado[[#This Row],[Parcelas]]&gt;=BA$1,tb_Cartao_Credito_Detalhado[[#This Row],[Total]]/tb_Cartao_Credito_Detalhado[[#This Row],[Parcelas]],0)</f>
        <v>0</v>
      </c>
      <c r="BB7" s="22">
        <f>IF(tb_Cartao_Credito_Detalhado[[#This Row],[Parcelas]]&gt;=BB$1,tb_Cartao_Credito_Detalhado[[#This Row],[Total]]/tb_Cartao_Credito_Detalhado[[#This Row],[Parcelas]],0)</f>
        <v>0</v>
      </c>
      <c r="BC7" s="22">
        <f>IF(tb_Cartao_Credito_Detalhado[[#This Row],[Parcelas]]&gt;=BC$1,tb_Cartao_Credito_Detalhado[[#This Row],[Total]]/tb_Cartao_Credito_Detalhado[[#This Row],[Parcelas]],0)</f>
        <v>0</v>
      </c>
    </row>
    <row r="8" spans="1:55" x14ac:dyDescent="0.25">
      <c r="A8" s="12">
        <v>42860</v>
      </c>
      <c r="B8" s="12" t="s">
        <v>29</v>
      </c>
      <c r="C8" s="3" t="s">
        <v>89</v>
      </c>
      <c r="D8" s="2"/>
      <c r="E8" s="13"/>
      <c r="F8" s="14">
        <v>435</v>
      </c>
      <c r="G8" s="13">
        <v>3.12</v>
      </c>
      <c r="H8" s="19"/>
      <c r="I8" s="29" t="str">
        <f>IF(ISERROR(TEXT(tb_Cartao_Credito_Detalhado[[#This Row],[Data]],"mm-aaaa")),"ERRO",TEXT(tb_Cartao_Credito_Detalhado[[#This Row],[Data]],"mmm-aaaa"))</f>
        <v>mai-2017</v>
      </c>
      <c r="J8" s="26">
        <f>tb_Cartao_Credito_Detalhado[[#This Row],[Valor (R$)]]+tb_Cartao_Credito_Detalhado[[#This Row],[Valor (US$)]]*tb_Cartao_Credito_Detalhado[[#This Row],[Taxa Dólar]]</f>
        <v>1357.2</v>
      </c>
      <c r="K8" s="22">
        <f>IF(tb_Cartao_Credito_Detalhado[[#This Row],[Parcelas]]&lt;=$K$1,tb_Cartao_Credito_Detalhado[[#This Row],[Total]],tb_Cartao_Credito_Detalhado[[#This Row],[Total]]/tb_Cartao_Credito_Detalhado[[#This Row],[Parcelas]])</f>
        <v>1357.2</v>
      </c>
      <c r="L8" s="22">
        <f>IF(tb_Cartao_Credito_Detalhado[[#This Row],[Parcelas]]&gt;=L$1,tb_Cartao_Credito_Detalhado[[#This Row],[Total]]/tb_Cartao_Credito_Detalhado[[#This Row],[Parcelas]],0)</f>
        <v>0</v>
      </c>
      <c r="M8" s="22">
        <f>IF(tb_Cartao_Credito_Detalhado[[#This Row],[Parcelas]]&gt;=M$1,tb_Cartao_Credito_Detalhado[[#This Row],[Total]]/tb_Cartao_Credito_Detalhado[[#This Row],[Parcelas]],0)</f>
        <v>0</v>
      </c>
      <c r="N8" s="22">
        <f>IF(tb_Cartao_Credito_Detalhado[[#This Row],[Parcelas]]&gt;=N$1,tb_Cartao_Credito_Detalhado[[#This Row],[Total]]/tb_Cartao_Credito_Detalhado[[#This Row],[Parcelas]],0)</f>
        <v>0</v>
      </c>
      <c r="O8" s="22">
        <f>IF(tb_Cartao_Credito_Detalhado[[#This Row],[Parcelas]]&gt;=O$1,tb_Cartao_Credito_Detalhado[[#This Row],[Total]]/tb_Cartao_Credito_Detalhado[[#This Row],[Parcelas]],0)</f>
        <v>0</v>
      </c>
      <c r="P8" s="22">
        <f>IF(tb_Cartao_Credito_Detalhado[[#This Row],[Parcelas]]&gt;=P$1,tb_Cartao_Credito_Detalhado[[#This Row],[Total]]/tb_Cartao_Credito_Detalhado[[#This Row],[Parcelas]],0)</f>
        <v>0</v>
      </c>
      <c r="Q8" s="22">
        <f>IF(tb_Cartao_Credito_Detalhado[[#This Row],[Parcelas]]&gt;=Q$1,tb_Cartao_Credito_Detalhado[[#This Row],[Total]]/tb_Cartao_Credito_Detalhado[[#This Row],[Parcelas]],0)</f>
        <v>0</v>
      </c>
      <c r="R8" s="22">
        <f>IF(tb_Cartao_Credito_Detalhado[[#This Row],[Parcelas]]&gt;=R$1,tb_Cartao_Credito_Detalhado[[#This Row],[Total]]/tb_Cartao_Credito_Detalhado[[#This Row],[Parcelas]],0)</f>
        <v>0</v>
      </c>
      <c r="S8" s="22">
        <f>IF(tb_Cartao_Credito_Detalhado[[#This Row],[Parcelas]]&gt;=S$1,tb_Cartao_Credito_Detalhado[[#This Row],[Total]]/tb_Cartao_Credito_Detalhado[[#This Row],[Parcelas]],0)</f>
        <v>0</v>
      </c>
      <c r="T8" s="22">
        <f>IF(tb_Cartao_Credito_Detalhado[[#This Row],[Parcelas]]&gt;=T$1,tb_Cartao_Credito_Detalhado[[#This Row],[Total]]/tb_Cartao_Credito_Detalhado[[#This Row],[Parcelas]],0)</f>
        <v>0</v>
      </c>
      <c r="U8" s="22">
        <f>IF(tb_Cartao_Credito_Detalhado[[#This Row],[Parcelas]]&gt;=U$1,tb_Cartao_Credito_Detalhado[[#This Row],[Total]]/tb_Cartao_Credito_Detalhado[[#This Row],[Parcelas]],0)</f>
        <v>0</v>
      </c>
      <c r="V8" s="22">
        <f>IF(tb_Cartao_Credito_Detalhado[[#This Row],[Parcelas]]&gt;=V$1,tb_Cartao_Credito_Detalhado[[#This Row],[Total]]/tb_Cartao_Credito_Detalhado[[#This Row],[Parcelas]],0)</f>
        <v>0</v>
      </c>
      <c r="W8" s="22">
        <f>IF(tb_Cartao_Credito_Detalhado[[#This Row],[Parcelas]]&gt;=W$1,tb_Cartao_Credito_Detalhado[[#This Row],[Total]]/tb_Cartao_Credito_Detalhado[[#This Row],[Parcelas]],0)</f>
        <v>0</v>
      </c>
      <c r="X8" s="22">
        <f>IF(tb_Cartao_Credito_Detalhado[[#This Row],[Parcelas]]&gt;=X$1,tb_Cartao_Credito_Detalhado[[#This Row],[Total]]/tb_Cartao_Credito_Detalhado[[#This Row],[Parcelas]],0)</f>
        <v>0</v>
      </c>
      <c r="Y8" s="22">
        <f>IF(tb_Cartao_Credito_Detalhado[[#This Row],[Parcelas]]&gt;=Y$1,tb_Cartao_Credito_Detalhado[[#This Row],[Total]]/tb_Cartao_Credito_Detalhado[[#This Row],[Parcelas]],0)</f>
        <v>0</v>
      </c>
      <c r="Z8" s="22">
        <f>IF(tb_Cartao_Credito_Detalhado[[#This Row],[Parcelas]]&gt;=Z$1,tb_Cartao_Credito_Detalhado[[#This Row],[Total]]/tb_Cartao_Credito_Detalhado[[#This Row],[Parcelas]],0)</f>
        <v>0</v>
      </c>
      <c r="AA8" s="22">
        <f>IF(tb_Cartao_Credito_Detalhado[[#This Row],[Parcelas]]&gt;=AA$1,tb_Cartao_Credito_Detalhado[[#This Row],[Total]]/tb_Cartao_Credito_Detalhado[[#This Row],[Parcelas]],0)</f>
        <v>0</v>
      </c>
      <c r="AB8" s="22">
        <f>IF(tb_Cartao_Credito_Detalhado[[#This Row],[Parcelas]]&gt;=AB$1,tb_Cartao_Credito_Detalhado[[#This Row],[Total]]/tb_Cartao_Credito_Detalhado[[#This Row],[Parcelas]],0)</f>
        <v>0</v>
      </c>
      <c r="AC8" s="22">
        <f>IF(tb_Cartao_Credito_Detalhado[[#This Row],[Parcelas]]&gt;=AC$1,tb_Cartao_Credito_Detalhado[[#This Row],[Total]]/tb_Cartao_Credito_Detalhado[[#This Row],[Parcelas]],0)</f>
        <v>0</v>
      </c>
      <c r="AD8" s="22">
        <f>IF(tb_Cartao_Credito_Detalhado[[#This Row],[Parcelas]]&gt;=AD$1,tb_Cartao_Credito_Detalhado[[#This Row],[Total]]/tb_Cartao_Credito_Detalhado[[#This Row],[Parcelas]],0)</f>
        <v>0</v>
      </c>
      <c r="AE8" s="22">
        <f>IF(tb_Cartao_Credito_Detalhado[[#This Row],[Parcelas]]&gt;=AE$1,tb_Cartao_Credito_Detalhado[[#This Row],[Total]]/tb_Cartao_Credito_Detalhado[[#This Row],[Parcelas]],0)</f>
        <v>0</v>
      </c>
      <c r="AF8" s="22">
        <f>IF(tb_Cartao_Credito_Detalhado[[#This Row],[Parcelas]]&gt;=AF$1,tb_Cartao_Credito_Detalhado[[#This Row],[Total]]/tb_Cartao_Credito_Detalhado[[#This Row],[Parcelas]],0)</f>
        <v>0</v>
      </c>
      <c r="AG8" s="22">
        <f>IF(tb_Cartao_Credito_Detalhado[[#This Row],[Parcelas]]&gt;=AG$1,tb_Cartao_Credito_Detalhado[[#This Row],[Total]]/tb_Cartao_Credito_Detalhado[[#This Row],[Parcelas]],0)</f>
        <v>0</v>
      </c>
      <c r="AH8" s="22">
        <f>IF(tb_Cartao_Credito_Detalhado[[#This Row],[Parcelas]]&gt;=AH$1,tb_Cartao_Credito_Detalhado[[#This Row],[Total]]/tb_Cartao_Credito_Detalhado[[#This Row],[Parcelas]],0)</f>
        <v>0</v>
      </c>
      <c r="AI8" s="22">
        <f>IF(tb_Cartao_Credito_Detalhado[[#This Row],[Parcelas]]&gt;=AI$1,tb_Cartao_Credito_Detalhado[[#This Row],[Total]]/tb_Cartao_Credito_Detalhado[[#This Row],[Parcelas]],0)</f>
        <v>0</v>
      </c>
      <c r="AJ8" s="22">
        <f>IF(tb_Cartao_Credito_Detalhado[[#This Row],[Parcelas]]&gt;=AJ$1,tb_Cartao_Credito_Detalhado[[#This Row],[Total]]/tb_Cartao_Credito_Detalhado[[#This Row],[Parcelas]],0)</f>
        <v>0</v>
      </c>
      <c r="AK8" s="22">
        <f>IF(tb_Cartao_Credito_Detalhado[[#This Row],[Parcelas]]&gt;=AK$1,tb_Cartao_Credito_Detalhado[[#This Row],[Total]]/tb_Cartao_Credito_Detalhado[[#This Row],[Parcelas]],0)</f>
        <v>0</v>
      </c>
      <c r="AL8" s="22">
        <f>IF(tb_Cartao_Credito_Detalhado[[#This Row],[Parcelas]]&gt;=AL$1,tb_Cartao_Credito_Detalhado[[#This Row],[Total]]/tb_Cartao_Credito_Detalhado[[#This Row],[Parcelas]],0)</f>
        <v>0</v>
      </c>
      <c r="AM8" s="22">
        <f>IF(tb_Cartao_Credito_Detalhado[[#This Row],[Parcelas]]&gt;=AM$1,tb_Cartao_Credito_Detalhado[[#This Row],[Total]]/tb_Cartao_Credito_Detalhado[[#This Row],[Parcelas]],0)</f>
        <v>0</v>
      </c>
      <c r="AN8" s="22">
        <f>IF(tb_Cartao_Credito_Detalhado[[#This Row],[Parcelas]]&gt;=AN$1,tb_Cartao_Credito_Detalhado[[#This Row],[Total]]/tb_Cartao_Credito_Detalhado[[#This Row],[Parcelas]],0)</f>
        <v>0</v>
      </c>
      <c r="AO8" s="22">
        <f>IF(tb_Cartao_Credito_Detalhado[[#This Row],[Parcelas]]&gt;=AO$1,tb_Cartao_Credito_Detalhado[[#This Row],[Total]]/tb_Cartao_Credito_Detalhado[[#This Row],[Parcelas]],0)</f>
        <v>0</v>
      </c>
      <c r="AP8" s="22">
        <f>IF(tb_Cartao_Credito_Detalhado[[#This Row],[Parcelas]]&gt;=AP$1,tb_Cartao_Credito_Detalhado[[#This Row],[Total]]/tb_Cartao_Credito_Detalhado[[#This Row],[Parcelas]],0)</f>
        <v>0</v>
      </c>
      <c r="AQ8" s="22">
        <f>IF(tb_Cartao_Credito_Detalhado[[#This Row],[Parcelas]]&gt;=AQ$1,tb_Cartao_Credito_Detalhado[[#This Row],[Total]]/tb_Cartao_Credito_Detalhado[[#This Row],[Parcelas]],0)</f>
        <v>0</v>
      </c>
      <c r="AR8" s="22">
        <f>IF(tb_Cartao_Credito_Detalhado[[#This Row],[Parcelas]]&gt;=AR$1,tb_Cartao_Credito_Detalhado[[#This Row],[Total]]/tb_Cartao_Credito_Detalhado[[#This Row],[Parcelas]],0)</f>
        <v>0</v>
      </c>
      <c r="AS8" s="22">
        <f>IF(tb_Cartao_Credito_Detalhado[[#This Row],[Parcelas]]&gt;=AS$1,tb_Cartao_Credito_Detalhado[[#This Row],[Total]]/tb_Cartao_Credito_Detalhado[[#This Row],[Parcelas]],0)</f>
        <v>0</v>
      </c>
      <c r="AT8" s="22">
        <f>IF(tb_Cartao_Credito_Detalhado[[#This Row],[Parcelas]]&gt;=AT$1,tb_Cartao_Credito_Detalhado[[#This Row],[Total]]/tb_Cartao_Credito_Detalhado[[#This Row],[Parcelas]],0)</f>
        <v>0</v>
      </c>
      <c r="AU8" s="22">
        <f>IF(tb_Cartao_Credito_Detalhado[[#This Row],[Parcelas]]&gt;=AU$1,tb_Cartao_Credito_Detalhado[[#This Row],[Total]]/tb_Cartao_Credito_Detalhado[[#This Row],[Parcelas]],0)</f>
        <v>0</v>
      </c>
      <c r="AV8" s="22">
        <f>IF(tb_Cartao_Credito_Detalhado[[#This Row],[Parcelas]]&gt;=AV$1,tb_Cartao_Credito_Detalhado[[#This Row],[Total]]/tb_Cartao_Credito_Detalhado[[#This Row],[Parcelas]],0)</f>
        <v>0</v>
      </c>
      <c r="AW8" s="22">
        <f>IF(tb_Cartao_Credito_Detalhado[[#This Row],[Parcelas]]&gt;=AW$1,tb_Cartao_Credito_Detalhado[[#This Row],[Total]]/tb_Cartao_Credito_Detalhado[[#This Row],[Parcelas]],0)</f>
        <v>0</v>
      </c>
      <c r="AX8" s="22">
        <f>IF(tb_Cartao_Credito_Detalhado[[#This Row],[Parcelas]]&gt;=AX$1,tb_Cartao_Credito_Detalhado[[#This Row],[Total]]/tb_Cartao_Credito_Detalhado[[#This Row],[Parcelas]],0)</f>
        <v>0</v>
      </c>
      <c r="AY8" s="22">
        <f>IF(tb_Cartao_Credito_Detalhado[[#This Row],[Parcelas]]&gt;=AY$1,tb_Cartao_Credito_Detalhado[[#This Row],[Total]]/tb_Cartao_Credito_Detalhado[[#This Row],[Parcelas]],0)</f>
        <v>0</v>
      </c>
      <c r="AZ8" s="22">
        <f>IF(tb_Cartao_Credito_Detalhado[[#This Row],[Parcelas]]&gt;=AZ$1,tb_Cartao_Credito_Detalhado[[#This Row],[Total]]/tb_Cartao_Credito_Detalhado[[#This Row],[Parcelas]],0)</f>
        <v>0</v>
      </c>
      <c r="BA8" s="22">
        <f>IF(tb_Cartao_Credito_Detalhado[[#This Row],[Parcelas]]&gt;=BA$1,tb_Cartao_Credito_Detalhado[[#This Row],[Total]]/tb_Cartao_Credito_Detalhado[[#This Row],[Parcelas]],0)</f>
        <v>0</v>
      </c>
      <c r="BB8" s="22">
        <f>IF(tb_Cartao_Credito_Detalhado[[#This Row],[Parcelas]]&gt;=BB$1,tb_Cartao_Credito_Detalhado[[#This Row],[Total]]/tb_Cartao_Credito_Detalhado[[#This Row],[Parcelas]],0)</f>
        <v>0</v>
      </c>
      <c r="BC8" s="22">
        <f>IF(tb_Cartao_Credito_Detalhado[[#This Row],[Parcelas]]&gt;=BC$1,tb_Cartao_Credito_Detalhado[[#This Row],[Total]]/tb_Cartao_Credito_Detalhado[[#This Row],[Parcelas]],0)</f>
        <v>0</v>
      </c>
    </row>
    <row r="9" spans="1:55" x14ac:dyDescent="0.25">
      <c r="A9" s="12">
        <v>42961</v>
      </c>
      <c r="B9" s="12" t="s">
        <v>29</v>
      </c>
      <c r="C9" s="3" t="s">
        <v>87</v>
      </c>
      <c r="D9" s="2"/>
      <c r="E9" s="13">
        <v>36</v>
      </c>
      <c r="F9" s="14"/>
      <c r="G9" s="13"/>
      <c r="H9" s="27"/>
      <c r="I9" s="30" t="str">
        <f>IF(ISERROR(TEXT(tb_Cartao_Credito_Detalhado[[#This Row],[Data]],"mm-aaaa")),"ERRO",TEXT(tb_Cartao_Credito_Detalhado[[#This Row],[Data]],"mmm-aaaa"))</f>
        <v>ago-2017</v>
      </c>
      <c r="J9" s="23">
        <f>tb_Cartao_Credito_Detalhado[[#This Row],[Valor (R$)]]+tb_Cartao_Credito_Detalhado[[#This Row],[Valor (US$)]]*tb_Cartao_Credito_Detalhado[[#This Row],[Taxa Dólar]]</f>
        <v>36</v>
      </c>
      <c r="K9" s="22">
        <f>IF(tb_Cartao_Credito_Detalhado[[#This Row],[Parcelas]]&lt;=$K$1,tb_Cartao_Credito_Detalhado[[#This Row],[Total]],tb_Cartao_Credito_Detalhado[[#This Row],[Total]]/tb_Cartao_Credito_Detalhado[[#This Row],[Parcelas]])</f>
        <v>36</v>
      </c>
      <c r="L9" s="22">
        <f>IF(tb_Cartao_Credito_Detalhado[[#This Row],[Parcelas]]&gt;=L$1,tb_Cartao_Credito_Detalhado[[#This Row],[Total]]/tb_Cartao_Credito_Detalhado[[#This Row],[Parcelas]],0)</f>
        <v>0</v>
      </c>
      <c r="M9" s="22">
        <f>IF(tb_Cartao_Credito_Detalhado[[#This Row],[Parcelas]]&gt;=M$1,tb_Cartao_Credito_Detalhado[[#This Row],[Total]]/tb_Cartao_Credito_Detalhado[[#This Row],[Parcelas]],0)</f>
        <v>0</v>
      </c>
      <c r="N9" s="22">
        <f>IF(tb_Cartao_Credito_Detalhado[[#This Row],[Parcelas]]&gt;=N$1,tb_Cartao_Credito_Detalhado[[#This Row],[Total]]/tb_Cartao_Credito_Detalhado[[#This Row],[Parcelas]],0)</f>
        <v>0</v>
      </c>
      <c r="O9" s="22">
        <f>IF(tb_Cartao_Credito_Detalhado[[#This Row],[Parcelas]]&gt;=O$1,tb_Cartao_Credito_Detalhado[[#This Row],[Total]]/tb_Cartao_Credito_Detalhado[[#This Row],[Parcelas]],0)</f>
        <v>0</v>
      </c>
      <c r="P9" s="22">
        <f>IF(tb_Cartao_Credito_Detalhado[[#This Row],[Parcelas]]&gt;=P$1,tb_Cartao_Credito_Detalhado[[#This Row],[Total]]/tb_Cartao_Credito_Detalhado[[#This Row],[Parcelas]],0)</f>
        <v>0</v>
      </c>
      <c r="Q9" s="22">
        <f>IF(tb_Cartao_Credito_Detalhado[[#This Row],[Parcelas]]&gt;=Q$1,tb_Cartao_Credito_Detalhado[[#This Row],[Total]]/tb_Cartao_Credito_Detalhado[[#This Row],[Parcelas]],0)</f>
        <v>0</v>
      </c>
      <c r="R9" s="22">
        <f>IF(tb_Cartao_Credito_Detalhado[[#This Row],[Parcelas]]&gt;=R$1,tb_Cartao_Credito_Detalhado[[#This Row],[Total]]/tb_Cartao_Credito_Detalhado[[#This Row],[Parcelas]],0)</f>
        <v>0</v>
      </c>
      <c r="S9" s="22">
        <f>IF(tb_Cartao_Credito_Detalhado[[#This Row],[Parcelas]]&gt;=S$1,tb_Cartao_Credito_Detalhado[[#This Row],[Total]]/tb_Cartao_Credito_Detalhado[[#This Row],[Parcelas]],0)</f>
        <v>0</v>
      </c>
      <c r="T9" s="22">
        <f>IF(tb_Cartao_Credito_Detalhado[[#This Row],[Parcelas]]&gt;=T$1,tb_Cartao_Credito_Detalhado[[#This Row],[Total]]/tb_Cartao_Credito_Detalhado[[#This Row],[Parcelas]],0)</f>
        <v>0</v>
      </c>
      <c r="U9" s="22">
        <f>IF(tb_Cartao_Credito_Detalhado[[#This Row],[Parcelas]]&gt;=U$1,tb_Cartao_Credito_Detalhado[[#This Row],[Total]]/tb_Cartao_Credito_Detalhado[[#This Row],[Parcelas]],0)</f>
        <v>0</v>
      </c>
      <c r="V9" s="22">
        <f>IF(tb_Cartao_Credito_Detalhado[[#This Row],[Parcelas]]&gt;=V$1,tb_Cartao_Credito_Detalhado[[#This Row],[Total]]/tb_Cartao_Credito_Detalhado[[#This Row],[Parcelas]],0)</f>
        <v>0</v>
      </c>
      <c r="W9" s="22">
        <f>IF(tb_Cartao_Credito_Detalhado[[#This Row],[Parcelas]]&gt;=W$1,tb_Cartao_Credito_Detalhado[[#This Row],[Total]]/tb_Cartao_Credito_Detalhado[[#This Row],[Parcelas]],0)</f>
        <v>0</v>
      </c>
      <c r="X9" s="22">
        <f>IF(tb_Cartao_Credito_Detalhado[[#This Row],[Parcelas]]&gt;=X$1,tb_Cartao_Credito_Detalhado[[#This Row],[Total]]/tb_Cartao_Credito_Detalhado[[#This Row],[Parcelas]],0)</f>
        <v>0</v>
      </c>
      <c r="Y9" s="22">
        <f>IF(tb_Cartao_Credito_Detalhado[[#This Row],[Parcelas]]&gt;=Y$1,tb_Cartao_Credito_Detalhado[[#This Row],[Total]]/tb_Cartao_Credito_Detalhado[[#This Row],[Parcelas]],0)</f>
        <v>0</v>
      </c>
      <c r="Z9" s="22">
        <f>IF(tb_Cartao_Credito_Detalhado[[#This Row],[Parcelas]]&gt;=Z$1,tb_Cartao_Credito_Detalhado[[#This Row],[Total]]/tb_Cartao_Credito_Detalhado[[#This Row],[Parcelas]],0)</f>
        <v>0</v>
      </c>
      <c r="AA9" s="22">
        <f>IF(tb_Cartao_Credito_Detalhado[[#This Row],[Parcelas]]&gt;=AA$1,tb_Cartao_Credito_Detalhado[[#This Row],[Total]]/tb_Cartao_Credito_Detalhado[[#This Row],[Parcelas]],0)</f>
        <v>0</v>
      </c>
      <c r="AB9" s="22">
        <f>IF(tb_Cartao_Credito_Detalhado[[#This Row],[Parcelas]]&gt;=AB$1,tb_Cartao_Credito_Detalhado[[#This Row],[Total]]/tb_Cartao_Credito_Detalhado[[#This Row],[Parcelas]],0)</f>
        <v>0</v>
      </c>
      <c r="AC9" s="22">
        <f>IF(tb_Cartao_Credito_Detalhado[[#This Row],[Parcelas]]&gt;=AC$1,tb_Cartao_Credito_Detalhado[[#This Row],[Total]]/tb_Cartao_Credito_Detalhado[[#This Row],[Parcelas]],0)</f>
        <v>0</v>
      </c>
      <c r="AD9" s="22">
        <f>IF(tb_Cartao_Credito_Detalhado[[#This Row],[Parcelas]]&gt;=AD$1,tb_Cartao_Credito_Detalhado[[#This Row],[Total]]/tb_Cartao_Credito_Detalhado[[#This Row],[Parcelas]],0)</f>
        <v>0</v>
      </c>
      <c r="AE9" s="22">
        <f>IF(tb_Cartao_Credito_Detalhado[[#This Row],[Parcelas]]&gt;=AE$1,tb_Cartao_Credito_Detalhado[[#This Row],[Total]]/tb_Cartao_Credito_Detalhado[[#This Row],[Parcelas]],0)</f>
        <v>0</v>
      </c>
      <c r="AF9" s="22">
        <f>IF(tb_Cartao_Credito_Detalhado[[#This Row],[Parcelas]]&gt;=AF$1,tb_Cartao_Credito_Detalhado[[#This Row],[Total]]/tb_Cartao_Credito_Detalhado[[#This Row],[Parcelas]],0)</f>
        <v>0</v>
      </c>
      <c r="AG9" s="22">
        <f>IF(tb_Cartao_Credito_Detalhado[[#This Row],[Parcelas]]&gt;=AG$1,tb_Cartao_Credito_Detalhado[[#This Row],[Total]]/tb_Cartao_Credito_Detalhado[[#This Row],[Parcelas]],0)</f>
        <v>0</v>
      </c>
      <c r="AH9" s="22">
        <f>IF(tb_Cartao_Credito_Detalhado[[#This Row],[Parcelas]]&gt;=AH$1,tb_Cartao_Credito_Detalhado[[#This Row],[Total]]/tb_Cartao_Credito_Detalhado[[#This Row],[Parcelas]],0)</f>
        <v>0</v>
      </c>
      <c r="AI9" s="22">
        <f>IF(tb_Cartao_Credito_Detalhado[[#This Row],[Parcelas]]&gt;=AI$1,tb_Cartao_Credito_Detalhado[[#This Row],[Total]]/tb_Cartao_Credito_Detalhado[[#This Row],[Parcelas]],0)</f>
        <v>0</v>
      </c>
      <c r="AJ9" s="22">
        <f>IF(tb_Cartao_Credito_Detalhado[[#This Row],[Parcelas]]&gt;=AJ$1,tb_Cartao_Credito_Detalhado[[#This Row],[Total]]/tb_Cartao_Credito_Detalhado[[#This Row],[Parcelas]],0)</f>
        <v>0</v>
      </c>
      <c r="AK9" s="22">
        <f>IF(tb_Cartao_Credito_Detalhado[[#This Row],[Parcelas]]&gt;=AK$1,tb_Cartao_Credito_Detalhado[[#This Row],[Total]]/tb_Cartao_Credito_Detalhado[[#This Row],[Parcelas]],0)</f>
        <v>0</v>
      </c>
      <c r="AL9" s="22">
        <f>IF(tb_Cartao_Credito_Detalhado[[#This Row],[Parcelas]]&gt;=AL$1,tb_Cartao_Credito_Detalhado[[#This Row],[Total]]/tb_Cartao_Credito_Detalhado[[#This Row],[Parcelas]],0)</f>
        <v>0</v>
      </c>
      <c r="AM9" s="22">
        <f>IF(tb_Cartao_Credito_Detalhado[[#This Row],[Parcelas]]&gt;=AM$1,tb_Cartao_Credito_Detalhado[[#This Row],[Total]]/tb_Cartao_Credito_Detalhado[[#This Row],[Parcelas]],0)</f>
        <v>0</v>
      </c>
      <c r="AN9" s="22">
        <f>IF(tb_Cartao_Credito_Detalhado[[#This Row],[Parcelas]]&gt;=AN$1,tb_Cartao_Credito_Detalhado[[#This Row],[Total]]/tb_Cartao_Credito_Detalhado[[#This Row],[Parcelas]],0)</f>
        <v>0</v>
      </c>
      <c r="AO9" s="22">
        <f>IF(tb_Cartao_Credito_Detalhado[[#This Row],[Parcelas]]&gt;=AO$1,tb_Cartao_Credito_Detalhado[[#This Row],[Total]]/tb_Cartao_Credito_Detalhado[[#This Row],[Parcelas]],0)</f>
        <v>0</v>
      </c>
      <c r="AP9" s="22">
        <f>IF(tb_Cartao_Credito_Detalhado[[#This Row],[Parcelas]]&gt;=AP$1,tb_Cartao_Credito_Detalhado[[#This Row],[Total]]/tb_Cartao_Credito_Detalhado[[#This Row],[Parcelas]],0)</f>
        <v>0</v>
      </c>
      <c r="AQ9" s="22">
        <f>IF(tb_Cartao_Credito_Detalhado[[#This Row],[Parcelas]]&gt;=AQ$1,tb_Cartao_Credito_Detalhado[[#This Row],[Total]]/tb_Cartao_Credito_Detalhado[[#This Row],[Parcelas]],0)</f>
        <v>0</v>
      </c>
      <c r="AR9" s="22">
        <f>IF(tb_Cartao_Credito_Detalhado[[#This Row],[Parcelas]]&gt;=AR$1,tb_Cartao_Credito_Detalhado[[#This Row],[Total]]/tb_Cartao_Credito_Detalhado[[#This Row],[Parcelas]],0)</f>
        <v>0</v>
      </c>
      <c r="AS9" s="22">
        <f>IF(tb_Cartao_Credito_Detalhado[[#This Row],[Parcelas]]&gt;=AS$1,tb_Cartao_Credito_Detalhado[[#This Row],[Total]]/tb_Cartao_Credito_Detalhado[[#This Row],[Parcelas]],0)</f>
        <v>0</v>
      </c>
      <c r="AT9" s="22">
        <f>IF(tb_Cartao_Credito_Detalhado[[#This Row],[Parcelas]]&gt;=AT$1,tb_Cartao_Credito_Detalhado[[#This Row],[Total]]/tb_Cartao_Credito_Detalhado[[#This Row],[Parcelas]],0)</f>
        <v>0</v>
      </c>
      <c r="AU9" s="22">
        <f>IF(tb_Cartao_Credito_Detalhado[[#This Row],[Parcelas]]&gt;=AU$1,tb_Cartao_Credito_Detalhado[[#This Row],[Total]]/tb_Cartao_Credito_Detalhado[[#This Row],[Parcelas]],0)</f>
        <v>0</v>
      </c>
      <c r="AV9" s="22">
        <f>IF(tb_Cartao_Credito_Detalhado[[#This Row],[Parcelas]]&gt;=AV$1,tb_Cartao_Credito_Detalhado[[#This Row],[Total]]/tb_Cartao_Credito_Detalhado[[#This Row],[Parcelas]],0)</f>
        <v>0</v>
      </c>
      <c r="AW9" s="22">
        <f>IF(tb_Cartao_Credito_Detalhado[[#This Row],[Parcelas]]&gt;=AW$1,tb_Cartao_Credito_Detalhado[[#This Row],[Total]]/tb_Cartao_Credito_Detalhado[[#This Row],[Parcelas]],0)</f>
        <v>0</v>
      </c>
      <c r="AX9" s="22">
        <f>IF(tb_Cartao_Credito_Detalhado[[#This Row],[Parcelas]]&gt;=AX$1,tb_Cartao_Credito_Detalhado[[#This Row],[Total]]/tb_Cartao_Credito_Detalhado[[#This Row],[Parcelas]],0)</f>
        <v>0</v>
      </c>
      <c r="AY9" s="22">
        <f>IF(tb_Cartao_Credito_Detalhado[[#This Row],[Parcelas]]&gt;=AY$1,tb_Cartao_Credito_Detalhado[[#This Row],[Total]]/tb_Cartao_Credito_Detalhado[[#This Row],[Parcelas]],0)</f>
        <v>0</v>
      </c>
      <c r="AZ9" s="22">
        <f>IF(tb_Cartao_Credito_Detalhado[[#This Row],[Parcelas]]&gt;=AZ$1,tb_Cartao_Credito_Detalhado[[#This Row],[Total]]/tb_Cartao_Credito_Detalhado[[#This Row],[Parcelas]],0)</f>
        <v>0</v>
      </c>
      <c r="BA9" s="22">
        <f>IF(tb_Cartao_Credito_Detalhado[[#This Row],[Parcelas]]&gt;=BA$1,tb_Cartao_Credito_Detalhado[[#This Row],[Total]]/tb_Cartao_Credito_Detalhado[[#This Row],[Parcelas]],0)</f>
        <v>0</v>
      </c>
      <c r="BB9" s="22">
        <f>IF(tb_Cartao_Credito_Detalhado[[#This Row],[Parcelas]]&gt;=BB$1,tb_Cartao_Credito_Detalhado[[#This Row],[Total]]/tb_Cartao_Credito_Detalhado[[#This Row],[Parcelas]],0)</f>
        <v>0</v>
      </c>
      <c r="BC9" s="22">
        <f>IF(tb_Cartao_Credito_Detalhado[[#This Row],[Parcelas]]&gt;=BC$1,tb_Cartao_Credito_Detalhado[[#This Row],[Total]]/tb_Cartao_Credito_Detalhado[[#This Row],[Parcelas]],0)</f>
        <v>0</v>
      </c>
    </row>
    <row r="10" spans="1:55" x14ac:dyDescent="0.25">
      <c r="A10" s="12">
        <v>43114</v>
      </c>
      <c r="B10" s="12"/>
      <c r="C10" s="3"/>
      <c r="D10" s="2">
        <v>36</v>
      </c>
      <c r="E10" s="13">
        <v>4800</v>
      </c>
      <c r="F10" s="14"/>
      <c r="G10" s="13"/>
      <c r="H10" s="27"/>
      <c r="I10" s="30" t="str">
        <f>IF(ISERROR(TEXT(tb_Cartao_Credito_Detalhado[[#This Row],[Data]],"mm-aaaa")),"ERRO",TEXT(tb_Cartao_Credito_Detalhado[[#This Row],[Data]],"mmm-aaaa"))</f>
        <v>jan-2018</v>
      </c>
      <c r="J10" s="23">
        <f>tb_Cartao_Credito_Detalhado[[#This Row],[Valor (R$)]]+tb_Cartao_Credito_Detalhado[[#This Row],[Valor (US$)]]*tb_Cartao_Credito_Detalhado[[#This Row],[Taxa Dólar]]</f>
        <v>4800</v>
      </c>
      <c r="K10" s="22">
        <f>IF(tb_Cartao_Credito_Detalhado[[#This Row],[Parcelas]]&lt;=$K$1,tb_Cartao_Credito_Detalhado[[#This Row],[Total]],tb_Cartao_Credito_Detalhado[[#This Row],[Total]]/tb_Cartao_Credito_Detalhado[[#This Row],[Parcelas]])</f>
        <v>133.33333333333334</v>
      </c>
      <c r="L10" s="22">
        <f>IF(tb_Cartao_Credito_Detalhado[[#This Row],[Parcelas]]&gt;=L$1,tb_Cartao_Credito_Detalhado[[#This Row],[Total]]/tb_Cartao_Credito_Detalhado[[#This Row],[Parcelas]],0)</f>
        <v>133.33333333333334</v>
      </c>
      <c r="M10" s="22">
        <f>IF(tb_Cartao_Credito_Detalhado[[#This Row],[Parcelas]]&gt;=M$1,tb_Cartao_Credito_Detalhado[[#This Row],[Total]]/tb_Cartao_Credito_Detalhado[[#This Row],[Parcelas]],0)</f>
        <v>133.33333333333334</v>
      </c>
      <c r="N10" s="22">
        <f>IF(tb_Cartao_Credito_Detalhado[[#This Row],[Parcelas]]&gt;=N$1,tb_Cartao_Credito_Detalhado[[#This Row],[Total]]/tb_Cartao_Credito_Detalhado[[#This Row],[Parcelas]],0)</f>
        <v>133.33333333333334</v>
      </c>
      <c r="O10" s="22">
        <f>IF(tb_Cartao_Credito_Detalhado[[#This Row],[Parcelas]]&gt;=O$1,tb_Cartao_Credito_Detalhado[[#This Row],[Total]]/tb_Cartao_Credito_Detalhado[[#This Row],[Parcelas]],0)</f>
        <v>133.33333333333334</v>
      </c>
      <c r="P10" s="22">
        <f>IF(tb_Cartao_Credito_Detalhado[[#This Row],[Parcelas]]&gt;=P$1,tb_Cartao_Credito_Detalhado[[#This Row],[Total]]/tb_Cartao_Credito_Detalhado[[#This Row],[Parcelas]],0)</f>
        <v>133.33333333333334</v>
      </c>
      <c r="Q10" s="22">
        <f>IF(tb_Cartao_Credito_Detalhado[[#This Row],[Parcelas]]&gt;=Q$1,tb_Cartao_Credito_Detalhado[[#This Row],[Total]]/tb_Cartao_Credito_Detalhado[[#This Row],[Parcelas]],0)</f>
        <v>133.33333333333334</v>
      </c>
      <c r="R10" s="22">
        <f>IF(tb_Cartao_Credito_Detalhado[[#This Row],[Parcelas]]&gt;=R$1,tb_Cartao_Credito_Detalhado[[#This Row],[Total]]/tb_Cartao_Credito_Detalhado[[#This Row],[Parcelas]],0)</f>
        <v>133.33333333333334</v>
      </c>
      <c r="S10" s="22">
        <f>IF(tb_Cartao_Credito_Detalhado[[#This Row],[Parcelas]]&gt;=S$1,tb_Cartao_Credito_Detalhado[[#This Row],[Total]]/tb_Cartao_Credito_Detalhado[[#This Row],[Parcelas]],0)</f>
        <v>133.33333333333334</v>
      </c>
      <c r="T10" s="22">
        <f>IF(tb_Cartao_Credito_Detalhado[[#This Row],[Parcelas]]&gt;=T$1,tb_Cartao_Credito_Detalhado[[#This Row],[Total]]/tb_Cartao_Credito_Detalhado[[#This Row],[Parcelas]],0)</f>
        <v>133.33333333333334</v>
      </c>
      <c r="U10" s="22">
        <f>IF(tb_Cartao_Credito_Detalhado[[#This Row],[Parcelas]]&gt;=U$1,tb_Cartao_Credito_Detalhado[[#This Row],[Total]]/tb_Cartao_Credito_Detalhado[[#This Row],[Parcelas]],0)</f>
        <v>133.33333333333334</v>
      </c>
      <c r="V10" s="22">
        <f>IF(tb_Cartao_Credito_Detalhado[[#This Row],[Parcelas]]&gt;=V$1,tb_Cartao_Credito_Detalhado[[#This Row],[Total]]/tb_Cartao_Credito_Detalhado[[#This Row],[Parcelas]],0)</f>
        <v>133.33333333333334</v>
      </c>
      <c r="W10" s="22">
        <f>IF(tb_Cartao_Credito_Detalhado[[#This Row],[Parcelas]]&gt;=W$1,tb_Cartao_Credito_Detalhado[[#This Row],[Total]]/tb_Cartao_Credito_Detalhado[[#This Row],[Parcelas]],0)</f>
        <v>133.33333333333334</v>
      </c>
      <c r="X10" s="22">
        <f>IF(tb_Cartao_Credito_Detalhado[[#This Row],[Parcelas]]&gt;=X$1,tb_Cartao_Credito_Detalhado[[#This Row],[Total]]/tb_Cartao_Credito_Detalhado[[#This Row],[Parcelas]],0)</f>
        <v>133.33333333333334</v>
      </c>
      <c r="Y10" s="22">
        <f>IF(tb_Cartao_Credito_Detalhado[[#This Row],[Parcelas]]&gt;=Y$1,tb_Cartao_Credito_Detalhado[[#This Row],[Total]]/tb_Cartao_Credito_Detalhado[[#This Row],[Parcelas]],0)</f>
        <v>133.33333333333334</v>
      </c>
      <c r="Z10" s="22">
        <f>IF(tb_Cartao_Credito_Detalhado[[#This Row],[Parcelas]]&gt;=Z$1,tb_Cartao_Credito_Detalhado[[#This Row],[Total]]/tb_Cartao_Credito_Detalhado[[#This Row],[Parcelas]],0)</f>
        <v>133.33333333333334</v>
      </c>
      <c r="AA10" s="22">
        <f>IF(tb_Cartao_Credito_Detalhado[[#This Row],[Parcelas]]&gt;=AA$1,tb_Cartao_Credito_Detalhado[[#This Row],[Total]]/tb_Cartao_Credito_Detalhado[[#This Row],[Parcelas]],0)</f>
        <v>133.33333333333334</v>
      </c>
      <c r="AB10" s="22">
        <f>IF(tb_Cartao_Credito_Detalhado[[#This Row],[Parcelas]]&gt;=AB$1,tb_Cartao_Credito_Detalhado[[#This Row],[Total]]/tb_Cartao_Credito_Detalhado[[#This Row],[Parcelas]],0)</f>
        <v>133.33333333333334</v>
      </c>
      <c r="AC10" s="22">
        <f>IF(tb_Cartao_Credito_Detalhado[[#This Row],[Parcelas]]&gt;=AC$1,tb_Cartao_Credito_Detalhado[[#This Row],[Total]]/tb_Cartao_Credito_Detalhado[[#This Row],[Parcelas]],0)</f>
        <v>133.33333333333334</v>
      </c>
      <c r="AD10" s="22">
        <f>IF(tb_Cartao_Credito_Detalhado[[#This Row],[Parcelas]]&gt;=AD$1,tb_Cartao_Credito_Detalhado[[#This Row],[Total]]/tb_Cartao_Credito_Detalhado[[#This Row],[Parcelas]],0)</f>
        <v>133.33333333333334</v>
      </c>
      <c r="AE10" s="22">
        <f>IF(tb_Cartao_Credito_Detalhado[[#This Row],[Parcelas]]&gt;=AE$1,tb_Cartao_Credito_Detalhado[[#This Row],[Total]]/tb_Cartao_Credito_Detalhado[[#This Row],[Parcelas]],0)</f>
        <v>133.33333333333334</v>
      </c>
      <c r="AF10" s="22">
        <f>IF(tb_Cartao_Credito_Detalhado[[#This Row],[Parcelas]]&gt;=AF$1,tb_Cartao_Credito_Detalhado[[#This Row],[Total]]/tb_Cartao_Credito_Detalhado[[#This Row],[Parcelas]],0)</f>
        <v>133.33333333333334</v>
      </c>
      <c r="AG10" s="22">
        <f>IF(tb_Cartao_Credito_Detalhado[[#This Row],[Parcelas]]&gt;=AG$1,tb_Cartao_Credito_Detalhado[[#This Row],[Total]]/tb_Cartao_Credito_Detalhado[[#This Row],[Parcelas]],0)</f>
        <v>133.33333333333334</v>
      </c>
      <c r="AH10" s="22">
        <f>IF(tb_Cartao_Credito_Detalhado[[#This Row],[Parcelas]]&gt;=AH$1,tb_Cartao_Credito_Detalhado[[#This Row],[Total]]/tb_Cartao_Credito_Detalhado[[#This Row],[Parcelas]],0)</f>
        <v>133.33333333333334</v>
      </c>
      <c r="AI10" s="22">
        <f>IF(tb_Cartao_Credito_Detalhado[[#This Row],[Parcelas]]&gt;=AI$1,tb_Cartao_Credito_Detalhado[[#This Row],[Total]]/tb_Cartao_Credito_Detalhado[[#This Row],[Parcelas]],0)</f>
        <v>133.33333333333334</v>
      </c>
      <c r="AJ10" s="22">
        <f>IF(tb_Cartao_Credito_Detalhado[[#This Row],[Parcelas]]&gt;=AJ$1,tb_Cartao_Credito_Detalhado[[#This Row],[Total]]/tb_Cartao_Credito_Detalhado[[#This Row],[Parcelas]],0)</f>
        <v>133.33333333333334</v>
      </c>
      <c r="AK10" s="22">
        <f>IF(tb_Cartao_Credito_Detalhado[[#This Row],[Parcelas]]&gt;=AK$1,tb_Cartao_Credito_Detalhado[[#This Row],[Total]]/tb_Cartao_Credito_Detalhado[[#This Row],[Parcelas]],0)</f>
        <v>133.33333333333334</v>
      </c>
      <c r="AL10" s="22">
        <f>IF(tb_Cartao_Credito_Detalhado[[#This Row],[Parcelas]]&gt;=AL$1,tb_Cartao_Credito_Detalhado[[#This Row],[Total]]/tb_Cartao_Credito_Detalhado[[#This Row],[Parcelas]],0)</f>
        <v>133.33333333333334</v>
      </c>
      <c r="AM10" s="22">
        <f>IF(tb_Cartao_Credito_Detalhado[[#This Row],[Parcelas]]&gt;=AM$1,tb_Cartao_Credito_Detalhado[[#This Row],[Total]]/tb_Cartao_Credito_Detalhado[[#This Row],[Parcelas]],0)</f>
        <v>133.33333333333334</v>
      </c>
      <c r="AN10" s="22">
        <f>IF(tb_Cartao_Credito_Detalhado[[#This Row],[Parcelas]]&gt;=AN$1,tb_Cartao_Credito_Detalhado[[#This Row],[Total]]/tb_Cartao_Credito_Detalhado[[#This Row],[Parcelas]],0)</f>
        <v>133.33333333333334</v>
      </c>
      <c r="AO10" s="22">
        <f>IF(tb_Cartao_Credito_Detalhado[[#This Row],[Parcelas]]&gt;=AO$1,tb_Cartao_Credito_Detalhado[[#This Row],[Total]]/tb_Cartao_Credito_Detalhado[[#This Row],[Parcelas]],0)</f>
        <v>133.33333333333334</v>
      </c>
      <c r="AP10" s="22">
        <f>IF(tb_Cartao_Credito_Detalhado[[#This Row],[Parcelas]]&gt;=AP$1,tb_Cartao_Credito_Detalhado[[#This Row],[Total]]/tb_Cartao_Credito_Detalhado[[#This Row],[Parcelas]],0)</f>
        <v>133.33333333333334</v>
      </c>
      <c r="AQ10" s="22">
        <f>IF(tb_Cartao_Credito_Detalhado[[#This Row],[Parcelas]]&gt;=AQ$1,tb_Cartao_Credito_Detalhado[[#This Row],[Total]]/tb_Cartao_Credito_Detalhado[[#This Row],[Parcelas]],0)</f>
        <v>133.33333333333334</v>
      </c>
      <c r="AR10" s="22">
        <f>IF(tb_Cartao_Credito_Detalhado[[#This Row],[Parcelas]]&gt;=AR$1,tb_Cartao_Credito_Detalhado[[#This Row],[Total]]/tb_Cartao_Credito_Detalhado[[#This Row],[Parcelas]],0)</f>
        <v>133.33333333333334</v>
      </c>
      <c r="AS10" s="22">
        <f>IF(tb_Cartao_Credito_Detalhado[[#This Row],[Parcelas]]&gt;=AS$1,tb_Cartao_Credito_Detalhado[[#This Row],[Total]]/tb_Cartao_Credito_Detalhado[[#This Row],[Parcelas]],0)</f>
        <v>133.33333333333334</v>
      </c>
      <c r="AT10" s="22">
        <f>IF(tb_Cartao_Credito_Detalhado[[#This Row],[Parcelas]]&gt;=AT$1,tb_Cartao_Credito_Detalhado[[#This Row],[Total]]/tb_Cartao_Credito_Detalhado[[#This Row],[Parcelas]],0)</f>
        <v>133.33333333333334</v>
      </c>
      <c r="AU10" s="22">
        <f>IF(tb_Cartao_Credito_Detalhado[[#This Row],[Parcelas]]&gt;=AU$1,tb_Cartao_Credito_Detalhado[[#This Row],[Total]]/tb_Cartao_Credito_Detalhado[[#This Row],[Parcelas]],0)</f>
        <v>0</v>
      </c>
      <c r="AV10" s="22">
        <f>IF(tb_Cartao_Credito_Detalhado[[#This Row],[Parcelas]]&gt;=AV$1,tb_Cartao_Credito_Detalhado[[#This Row],[Total]]/tb_Cartao_Credito_Detalhado[[#This Row],[Parcelas]],0)</f>
        <v>0</v>
      </c>
      <c r="AW10" s="22">
        <f>IF(tb_Cartao_Credito_Detalhado[[#This Row],[Parcelas]]&gt;=AW$1,tb_Cartao_Credito_Detalhado[[#This Row],[Total]]/tb_Cartao_Credito_Detalhado[[#This Row],[Parcelas]],0)</f>
        <v>0</v>
      </c>
      <c r="AX10" s="22">
        <f>IF(tb_Cartao_Credito_Detalhado[[#This Row],[Parcelas]]&gt;=AX$1,tb_Cartao_Credito_Detalhado[[#This Row],[Total]]/tb_Cartao_Credito_Detalhado[[#This Row],[Parcelas]],0)</f>
        <v>0</v>
      </c>
      <c r="AY10" s="22">
        <f>IF(tb_Cartao_Credito_Detalhado[[#This Row],[Parcelas]]&gt;=AY$1,tb_Cartao_Credito_Detalhado[[#This Row],[Total]]/tb_Cartao_Credito_Detalhado[[#This Row],[Parcelas]],0)</f>
        <v>0</v>
      </c>
      <c r="AZ10" s="22">
        <f>IF(tb_Cartao_Credito_Detalhado[[#This Row],[Parcelas]]&gt;=AZ$1,tb_Cartao_Credito_Detalhado[[#This Row],[Total]]/tb_Cartao_Credito_Detalhado[[#This Row],[Parcelas]],0)</f>
        <v>0</v>
      </c>
      <c r="BA10" s="22">
        <f>IF(tb_Cartao_Credito_Detalhado[[#This Row],[Parcelas]]&gt;=BA$1,tb_Cartao_Credito_Detalhado[[#This Row],[Total]]/tb_Cartao_Credito_Detalhado[[#This Row],[Parcelas]],0)</f>
        <v>0</v>
      </c>
      <c r="BB10" s="22">
        <f>IF(tb_Cartao_Credito_Detalhado[[#This Row],[Parcelas]]&gt;=BB$1,tb_Cartao_Credito_Detalhado[[#This Row],[Total]]/tb_Cartao_Credito_Detalhado[[#This Row],[Parcelas]],0)</f>
        <v>0</v>
      </c>
      <c r="BC10" s="22">
        <f>IF(tb_Cartao_Credito_Detalhado[[#This Row],[Parcelas]]&gt;=BC$1,tb_Cartao_Credito_Detalhado[[#This Row],[Total]]/tb_Cartao_Credito_Detalhado[[#This Row],[Parcelas]],0)</f>
        <v>0</v>
      </c>
    </row>
    <row r="12" spans="1:55" x14ac:dyDescent="0.25">
      <c r="K12" s="34">
        <v>42736</v>
      </c>
      <c r="L12" s="35">
        <v>42767</v>
      </c>
      <c r="M12" s="34">
        <v>42795</v>
      </c>
      <c r="N12" s="35">
        <v>42826</v>
      </c>
      <c r="O12" s="34">
        <v>42856</v>
      </c>
      <c r="P12" s="35">
        <v>42887</v>
      </c>
      <c r="Q12" s="34">
        <v>42917</v>
      </c>
      <c r="R12" s="35">
        <v>42948</v>
      </c>
      <c r="S12" s="34">
        <v>42979</v>
      </c>
      <c r="T12" s="35">
        <v>43009</v>
      </c>
      <c r="U12" s="34">
        <v>43040</v>
      </c>
      <c r="V12" s="35">
        <v>43070</v>
      </c>
    </row>
    <row r="13" spans="1:55" x14ac:dyDescent="0.25">
      <c r="K13" s="32">
        <f>K3+K4</f>
        <v>572.57333333333338</v>
      </c>
      <c r="L13" s="33">
        <f>L3+L4+K5+K7</f>
        <v>1008.5733333333334</v>
      </c>
      <c r="M13" s="32">
        <f>M3+M4+K6+L5+L7</f>
        <v>708.66333333333341</v>
      </c>
      <c r="N13" s="33">
        <f>N3+N4+M5+L6+M7</f>
        <v>500.09000000000003</v>
      </c>
      <c r="O13" s="32">
        <f>O3+O4+N5+M6+N7+K8</f>
        <v>1493.29</v>
      </c>
      <c r="P13" s="33">
        <f>P3+P4+O5+N6+O7+L8</f>
        <v>136.09</v>
      </c>
      <c r="Q13" s="32">
        <f>Q3+Q4+P5+O6+P7+M8</f>
        <v>136.09</v>
      </c>
      <c r="R13" s="33">
        <f>R3+R4+Q5+P6+Q7+N8+K9</f>
        <v>36</v>
      </c>
      <c r="S13" s="32">
        <f>S3+S4+R5+Q6+R7+O8+L9</f>
        <v>0</v>
      </c>
      <c r="T13" s="33">
        <f>T3+T4+S5+R6+S7+P8+M9</f>
        <v>0</v>
      </c>
      <c r="U13" s="32">
        <f>U3+U4+T5+S6+T7+Q8+N9</f>
        <v>0</v>
      </c>
      <c r="V13" s="33">
        <f>V3+V4+U5+T6+U7+R8+O9</f>
        <v>0</v>
      </c>
    </row>
  </sheetData>
  <dataValidations count="2">
    <dataValidation type="list" allowBlank="1" showInputMessage="1" showErrorMessage="1" sqref="B3:B10">
      <formula1>lst_Sigla_Cartao_Credito</formula1>
    </dataValidation>
    <dataValidation type="whole" allowBlank="1" showInputMessage="1" showErrorMessage="1" errorTitle="Erro no número de Parcelas" error="As parcelas devem ser numéricas e maiores que 0." sqref="D3:D10">
      <formula1>1</formula1>
      <formula2>45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_Fluxo_Cartao_Credito">
    <tabColor theme="9" tint="0.79998168889431442"/>
  </sheetPr>
  <dimension ref="B2:AZ8"/>
  <sheetViews>
    <sheetView showGridLines="0" zoomScaleNormal="100" workbookViewId="0">
      <selection activeCell="C5" sqref="C5"/>
    </sheetView>
  </sheetViews>
  <sheetFormatPr defaultRowHeight="15" x14ac:dyDescent="0.25"/>
  <cols>
    <col min="2" max="2" width="30.7109375" customWidth="1"/>
    <col min="4" max="52" width="15.7109375" customWidth="1"/>
  </cols>
  <sheetData>
    <row r="2" spans="2:52" x14ac:dyDescent="0.25">
      <c r="D2" s="36">
        <v>42736</v>
      </c>
      <c r="E2" s="36">
        <v>42767</v>
      </c>
      <c r="F2" s="36">
        <v>42795</v>
      </c>
      <c r="G2" s="36">
        <v>42826</v>
      </c>
      <c r="H2" s="36">
        <v>42856</v>
      </c>
      <c r="I2" s="36">
        <v>42887</v>
      </c>
      <c r="J2" s="36">
        <v>42917</v>
      </c>
      <c r="K2" s="36">
        <v>42948</v>
      </c>
      <c r="L2" s="36">
        <v>42979</v>
      </c>
      <c r="M2" s="36">
        <v>43009</v>
      </c>
      <c r="N2" s="36">
        <v>43040</v>
      </c>
      <c r="O2" s="36">
        <v>43070</v>
      </c>
      <c r="P2" s="36">
        <v>43101</v>
      </c>
      <c r="Q2" s="36">
        <v>43132</v>
      </c>
      <c r="R2" s="36">
        <v>43160</v>
      </c>
      <c r="S2" s="36">
        <v>43191</v>
      </c>
      <c r="T2" s="36">
        <v>43221</v>
      </c>
      <c r="U2" s="36">
        <v>43252</v>
      </c>
      <c r="V2" s="36">
        <v>43282</v>
      </c>
      <c r="W2" s="36">
        <v>43313</v>
      </c>
      <c r="X2" s="36">
        <v>43344</v>
      </c>
      <c r="Y2" s="36">
        <v>43374</v>
      </c>
      <c r="Z2" s="36">
        <v>43405</v>
      </c>
      <c r="AA2" s="36">
        <v>43435</v>
      </c>
      <c r="AB2" s="36">
        <v>43466</v>
      </c>
      <c r="AC2" s="36">
        <v>43497</v>
      </c>
      <c r="AD2" s="36">
        <v>43525</v>
      </c>
      <c r="AE2" s="36">
        <v>43556</v>
      </c>
      <c r="AF2" s="36">
        <v>43586</v>
      </c>
      <c r="AG2" s="36">
        <v>43617</v>
      </c>
      <c r="AH2" s="36">
        <v>43647</v>
      </c>
      <c r="AI2" s="36">
        <v>43678</v>
      </c>
      <c r="AJ2" s="36">
        <v>43709</v>
      </c>
      <c r="AK2" s="36">
        <v>43739</v>
      </c>
      <c r="AL2" s="36">
        <v>43770</v>
      </c>
      <c r="AM2" s="36">
        <v>43800</v>
      </c>
      <c r="AN2" s="36">
        <v>43831</v>
      </c>
      <c r="AO2" s="36">
        <v>43862</v>
      </c>
      <c r="AP2" s="36">
        <v>43891</v>
      </c>
      <c r="AQ2" s="36">
        <v>43922</v>
      </c>
      <c r="AR2" s="36">
        <v>43952</v>
      </c>
      <c r="AS2" s="36">
        <v>43983</v>
      </c>
      <c r="AT2" s="36">
        <v>44013</v>
      </c>
      <c r="AU2" s="36">
        <v>44044</v>
      </c>
      <c r="AV2" s="36">
        <v>44075</v>
      </c>
      <c r="AW2" s="36">
        <v>44105</v>
      </c>
      <c r="AX2" s="36">
        <v>44136</v>
      </c>
      <c r="AY2" s="36">
        <v>44166</v>
      </c>
      <c r="AZ2" s="36">
        <v>44197</v>
      </c>
    </row>
    <row r="4" spans="2:52" ht="39.950000000000003" customHeight="1" x14ac:dyDescent="0.25">
      <c r="B4" s="15" t="s">
        <v>0</v>
      </c>
      <c r="C4" s="15" t="s">
        <v>93</v>
      </c>
      <c r="D4" s="31" t="s">
        <v>94</v>
      </c>
      <c r="E4" s="31" t="s">
        <v>95</v>
      </c>
      <c r="F4" s="31" t="s">
        <v>96</v>
      </c>
      <c r="G4" s="31" t="s">
        <v>97</v>
      </c>
      <c r="H4" s="31" t="s">
        <v>98</v>
      </c>
      <c r="I4" s="31" t="s">
        <v>99</v>
      </c>
      <c r="J4" s="31" t="s">
        <v>100</v>
      </c>
      <c r="K4" s="31" t="s">
        <v>101</v>
      </c>
      <c r="L4" s="31" t="s">
        <v>102</v>
      </c>
      <c r="M4" s="31" t="s">
        <v>103</v>
      </c>
      <c r="N4" s="31" t="s">
        <v>104</v>
      </c>
      <c r="O4" s="31" t="s">
        <v>105</v>
      </c>
      <c r="P4" s="31" t="s">
        <v>106</v>
      </c>
      <c r="Q4" s="31" t="s">
        <v>107</v>
      </c>
      <c r="R4" s="31" t="s">
        <v>108</v>
      </c>
      <c r="S4" s="31" t="s">
        <v>109</v>
      </c>
      <c r="T4" s="31" t="s">
        <v>110</v>
      </c>
      <c r="U4" s="31" t="s">
        <v>111</v>
      </c>
      <c r="V4" s="31" t="s">
        <v>112</v>
      </c>
      <c r="W4" s="31" t="s">
        <v>113</v>
      </c>
      <c r="X4" s="31" t="s">
        <v>114</v>
      </c>
      <c r="Y4" s="31" t="s">
        <v>115</v>
      </c>
      <c r="Z4" s="31" t="s">
        <v>116</v>
      </c>
      <c r="AA4" s="31" t="s">
        <v>117</v>
      </c>
      <c r="AB4" s="31" t="s">
        <v>118</v>
      </c>
      <c r="AC4" s="31" t="s">
        <v>119</v>
      </c>
      <c r="AD4" s="31" t="s">
        <v>120</v>
      </c>
      <c r="AE4" s="31" t="s">
        <v>121</v>
      </c>
      <c r="AF4" s="31" t="s">
        <v>122</v>
      </c>
      <c r="AG4" s="31" t="s">
        <v>123</v>
      </c>
      <c r="AH4" s="31" t="s">
        <v>124</v>
      </c>
      <c r="AI4" s="31" t="s">
        <v>125</v>
      </c>
      <c r="AJ4" s="31" t="s">
        <v>126</v>
      </c>
      <c r="AK4" s="31" t="s">
        <v>127</v>
      </c>
      <c r="AL4" s="31" t="s">
        <v>128</v>
      </c>
      <c r="AM4" s="31" t="s">
        <v>129</v>
      </c>
      <c r="AN4" s="31" t="s">
        <v>131</v>
      </c>
      <c r="AO4" s="31" t="s">
        <v>132</v>
      </c>
      <c r="AP4" s="31" t="s">
        <v>133</v>
      </c>
      <c r="AQ4" s="31" t="s">
        <v>134</v>
      </c>
      <c r="AR4" s="31" t="s">
        <v>135</v>
      </c>
      <c r="AS4" s="31" t="s">
        <v>136</v>
      </c>
      <c r="AT4" s="31" t="s">
        <v>137</v>
      </c>
      <c r="AU4" s="31" t="s">
        <v>138</v>
      </c>
      <c r="AV4" s="31" t="s">
        <v>139</v>
      </c>
      <c r="AW4" s="31" t="s">
        <v>140</v>
      </c>
      <c r="AX4" s="31" t="s">
        <v>141</v>
      </c>
      <c r="AY4" s="31" t="s">
        <v>130</v>
      </c>
      <c r="AZ4" s="31" t="s">
        <v>142</v>
      </c>
    </row>
    <row r="5" spans="2:52" x14ac:dyDescent="0.25">
      <c r="B5" t="s">
        <v>92</v>
      </c>
      <c r="D5" s="28">
        <f ca="1">SUM(
SUMIFS(tb_Cartao_Credito_Detalhado[[Mês 1]:[Mês 1]],tb_Cartao_Credito_Detalhado[Mês/Ano],D$4),
SUMIFS(tb_Cartao_Credito_Detalhado[[Mês 2]:[Mês 2]],tb_Cartao_Credito_Detalhado[Mês/Ano],OFFSET(D$4,0,-1)),
SUMIFS(tb_Cartao_Credito_Detalhado[[Mês 3]:[Mês 3]],tb_Cartao_Credito_Detalhado[Mês/Ano],OFFSET(D$4,0,-2)),
SUMIFS(tb_Cartao_Credito_Detalhado[[Mês 4]:[Mês 4]],tb_Cartao_Credito_Detalhado[Mês/Ano],OFFSET(D$4,0,-3)),
SUMIFS(tb_Cartao_Credito_Detalhado[[Mês 5]:[Mês 5]],tb_Cartao_Credito_Detalhado[Mês/Ano],OFFSET(D$4,0,-4)),
SUMIFS(tb_Cartao_Credito_Detalhado[[Mês 6]:[Mês 6]],tb_Cartao_Credito_Detalhado[Mês/Ano],OFFSET(D$4,0,-5)),
SUMIFS(tb_Cartao_Credito_Detalhado[[Mês 7]:[Mês 7]],tb_Cartao_Credito_Detalhado[Mês/Ano],OFFSET(D$4,0,-6)),
SUMIFS(tb_Cartao_Credito_Detalhado[[Mês 8]:[Mês 8]],tb_Cartao_Credito_Detalhado[Mês/Ano],OFFSET(D$4,0,-7)),
SUMIFS(tb_Cartao_Credito_Detalhado[[Mês 9]:[Mês 9]],tb_Cartao_Credito_Detalhado[Mês/Ano],OFFSET(D$4,0,-8)),
SUMIFS(tb_Cartao_Credito_Detalhado[[Mês 10]:[Mês 10]],tb_Cartao_Credito_Detalhado[Mês/Ano],OFFSET(D$4,0,-9)),
SUMIFS(tb_Cartao_Credito_Detalhado[[Mês 11]:[Mês 11]],tb_Cartao_Credito_Detalhado[Mês/Ano],OFFSET(D$4,0,-10)),
SUMIFS(tb_Cartao_Credito_Detalhado[[Mês 12]:[Mês 12]],tb_Cartao_Credito_Detalhado[Mês/Ano],OFFSET(D$4,0,-11)),
SUMIFS(tb_Cartao_Credito_Detalhado[[Mês 13]:[Mês 13]],tb_Cartao_Credito_Detalhado[Mês/Ano],OFFSET(D$4,0,-12)),
SUMIFS(tb_Cartao_Credito_Detalhado[[Mês 14]:[Mês 14]],tb_Cartao_Credito_Detalhado[Mês/Ano],OFFSET(D$4,0,-13)),
SUMIFS(tb_Cartao_Credito_Detalhado[[Mês 15]:[Mês 15]],tb_Cartao_Credito_Detalhado[Mês/Ano],OFFSET(D$4,0,-14)),
SUMIFS(tb_Cartao_Credito_Detalhado[[Mês 16]:[Mês 16]],tb_Cartao_Credito_Detalhado[Mês/Ano],OFFSET(D$4,0,-15)),
SUMIFS(tb_Cartao_Credito_Detalhado[[Mês 17]:[Mês 17]],tb_Cartao_Credito_Detalhado[Mês/Ano],OFFSET(D$4,0,-16)),
SUMIFS(tb_Cartao_Credito_Detalhado[[Mês 18]:[Mês 18]],tb_Cartao_Credito_Detalhado[Mês/Ano],OFFSET(D$4,0,-17)),
SUMIFS(tb_Cartao_Credito_Detalhado[[Mês 19]:[Mês 19]],tb_Cartao_Credito_Detalhado[Mês/Ano],OFFSET(D$4,0,-18)),
SUMIFS(tb_Cartao_Credito_Detalhado[[Mês 20]:[Mês 20]],tb_Cartao_Credito_Detalhado[Mês/Ano],OFFSET(D$4,0,-19)),
SUMIFS(tb_Cartao_Credito_Detalhado[[Mês 21]:[Mês 21]],tb_Cartao_Credito_Detalhado[Mês/Ano],OFFSET(D$4,0,-20)),
SUMIFS(tb_Cartao_Credito_Detalhado[[Mês 22]:[Mês 22]],tb_Cartao_Credito_Detalhado[Mês/Ano],OFFSET(D$4,0,-21)),
SUMIFS(tb_Cartao_Credito_Detalhado[[Mês 23]:[Mês 23]],tb_Cartao_Credito_Detalhado[Mês/Ano],OFFSET(D$4,0,-22)),
SUMIFS(tb_Cartao_Credito_Detalhado[[Mês 24]:[Mês 24]],tb_Cartao_Credito_Detalhado[Mês/Ano],OFFSET(D$4,0,-23)),
SUMIFS(tb_Cartao_Credito_Detalhado[[Mês 25]:[Mês 25]],tb_Cartao_Credito_Detalhado[Mês/Ano],OFFSET(D$4,0,-24)),
SUMIFS(tb_Cartao_Credito_Detalhado[[Mês 26]:[Mês 26]],tb_Cartao_Credito_Detalhado[Mês/Ano],OFFSET(D$4,0,-25)),
SUMIFS(tb_Cartao_Credito_Detalhado[[Mês 27]:[Mês 27]],tb_Cartao_Credito_Detalhado[Mês/Ano],OFFSET(D$4,0,-26)),
SUMIFS(tb_Cartao_Credito_Detalhado[[Mês 28]:[Mês 28]],tb_Cartao_Credito_Detalhado[Mês/Ano],OFFSET(D$4,0,-27)),
SUMIFS(tb_Cartao_Credito_Detalhado[[Mês 29]:[Mês 29]],tb_Cartao_Credito_Detalhado[Mês/Ano],OFFSET(D$4,0,-28)),
SUMIFS(tb_Cartao_Credito_Detalhado[[Mês 30]:[Mês 30]],tb_Cartao_Credito_Detalhado[Mês/Ano],OFFSET(D$4,0,-29)),
SUMIFS(tb_Cartao_Credito_Detalhado[[Mês 31]:[Mês 31]],tb_Cartao_Credito_Detalhado[Mês/Ano],OFFSET(D$4,0,-30)),
SUMIFS(tb_Cartao_Credito_Detalhado[[Mês 32]:[Mês 32]],tb_Cartao_Credito_Detalhado[Mês/Ano],OFFSET(D$4,0,-31)),
SUMIFS(tb_Cartao_Credito_Detalhado[[Mês 33]:[Mês 33]],tb_Cartao_Credito_Detalhado[Mês/Ano],OFFSET(D$4,0,-32)),
SUMIFS(tb_Cartao_Credito_Detalhado[[Mês 34]:[Mês 34]],tb_Cartao_Credito_Detalhado[Mês/Ano],OFFSET(D$4,0,-33)),
SUMIFS(tb_Cartao_Credito_Detalhado[[Mês 35]:[Mês 35]],tb_Cartao_Credito_Detalhado[Mês/Ano],OFFSET(D$4,0,-34)),
SUMIFS(tb_Cartao_Credito_Detalhado[[Mês 36]:[Mês 36]],tb_Cartao_Credito_Detalhado[Mês/Ano],OFFSET(D$4,0,-35)),
SUMIFS(tb_Cartao_Credito_Detalhado[[Mês 37]:[Mês 37]],tb_Cartao_Credito_Detalhado[Mês/Ano],OFFSET(D$4,0,-36)),
SUMIFS(tb_Cartao_Credito_Detalhado[[Mês 38]:[Mês 38]],tb_Cartao_Credito_Detalhado[Mês/Ano],OFFSET(D$4,0,-37)),
SUMIFS(tb_Cartao_Credito_Detalhado[[Mês 39]:[Mês 39]],tb_Cartao_Credito_Detalhado[Mês/Ano],OFFSET(D$4,0,-38)),
SUMIFS(tb_Cartao_Credito_Detalhado[[Mês 40]:[Mês 40]],tb_Cartao_Credito_Detalhado[Mês/Ano],OFFSET(D$4,0,-39)),
SUMIFS(tb_Cartao_Credito_Detalhado[[Mês 41]:[Mês 41]],tb_Cartao_Credito_Detalhado[Mês/Ano],OFFSET(D$4,0,-40)),
SUMIFS(tb_Cartao_Credito_Detalhado[[Mês 42]:[Mês 42]],tb_Cartao_Credito_Detalhado[Mês/Ano],OFFSET(D$4,0,-41)),
SUMIFS(tb_Cartao_Credito_Detalhado[[Mês 43]:[Mês 43]],tb_Cartao_Credito_Detalhado[Mês/Ano],OFFSET(D$4,0,-42)),
SUMIFS(tb_Cartao_Credito_Detalhado[[Mês 44]:[Mês 44]],tb_Cartao_Credito_Detalhado[Mês/Ano],OFFSET(D$4,0,-43)),
SUMIFS(tb_Cartao_Credito_Detalhado[[Mês 45]:[Mês 45]],tb_Cartao_Credito_Detalhado[Mês/Ano],OFFSET(D$4,0,-44)),
)</f>
        <v>572.57333333333338</v>
      </c>
      <c r="E5" s="28">
        <f ca="1">SUM(
SUMIFS(tb_Cartao_Credito_Detalhado[[Mês 1]:[Mês 1]],tb_Cartao_Credito_Detalhado[Mês/Ano],E$4),
SUMIFS(tb_Cartao_Credito_Detalhado[[Mês 2]:[Mês 2]],tb_Cartao_Credito_Detalhado[Mês/Ano],OFFSET(E$4,0,-1)),
SUMIFS(tb_Cartao_Credito_Detalhado[[Mês 3]:[Mês 3]],tb_Cartao_Credito_Detalhado[Mês/Ano],OFFSET(E$4,0,-2)),
SUMIFS(tb_Cartao_Credito_Detalhado[[Mês 4]:[Mês 4]],tb_Cartao_Credito_Detalhado[Mês/Ano],OFFSET(E$4,0,-3)),
SUMIFS(tb_Cartao_Credito_Detalhado[[Mês 5]:[Mês 5]],tb_Cartao_Credito_Detalhado[Mês/Ano],OFFSET(E$4,0,-4)),
SUMIFS(tb_Cartao_Credito_Detalhado[[Mês 6]:[Mês 6]],tb_Cartao_Credito_Detalhado[Mês/Ano],OFFSET(E$4,0,-5)),
SUMIFS(tb_Cartao_Credito_Detalhado[[Mês 7]:[Mês 7]],tb_Cartao_Credito_Detalhado[Mês/Ano],OFFSET(E$4,0,-6)),
SUMIFS(tb_Cartao_Credito_Detalhado[[Mês 8]:[Mês 8]],tb_Cartao_Credito_Detalhado[Mês/Ano],OFFSET(E$4,0,-7)),
SUMIFS(tb_Cartao_Credito_Detalhado[[Mês 9]:[Mês 9]],tb_Cartao_Credito_Detalhado[Mês/Ano],OFFSET(E$4,0,-8)),
SUMIFS(tb_Cartao_Credito_Detalhado[[Mês 10]:[Mês 10]],tb_Cartao_Credito_Detalhado[Mês/Ano],OFFSET(E$4,0,-9)),
SUMIFS(tb_Cartao_Credito_Detalhado[[Mês 11]:[Mês 11]],tb_Cartao_Credito_Detalhado[Mês/Ano],OFFSET(E$4,0,-10)),
SUMIFS(tb_Cartao_Credito_Detalhado[[Mês 12]:[Mês 12]],tb_Cartao_Credito_Detalhado[Mês/Ano],OFFSET(E$4,0,-11)),
SUMIFS(tb_Cartao_Credito_Detalhado[[Mês 13]:[Mês 13]],tb_Cartao_Credito_Detalhado[Mês/Ano],OFFSET(E$4,0,-12)),
SUMIFS(tb_Cartao_Credito_Detalhado[[Mês 14]:[Mês 14]],tb_Cartao_Credito_Detalhado[Mês/Ano],OFFSET(E$4,0,-13)),
SUMIFS(tb_Cartao_Credito_Detalhado[[Mês 15]:[Mês 15]],tb_Cartao_Credito_Detalhado[Mês/Ano],OFFSET(E$4,0,-14)),
SUMIFS(tb_Cartao_Credito_Detalhado[[Mês 16]:[Mês 16]],tb_Cartao_Credito_Detalhado[Mês/Ano],OFFSET(E$4,0,-15)),
SUMIFS(tb_Cartao_Credito_Detalhado[[Mês 17]:[Mês 17]],tb_Cartao_Credito_Detalhado[Mês/Ano],OFFSET(E$4,0,-16)),
SUMIFS(tb_Cartao_Credito_Detalhado[[Mês 18]:[Mês 18]],tb_Cartao_Credito_Detalhado[Mês/Ano],OFFSET(E$4,0,-17)),
SUMIFS(tb_Cartao_Credito_Detalhado[[Mês 19]:[Mês 19]],tb_Cartao_Credito_Detalhado[Mês/Ano],OFFSET(E$4,0,-18)),
SUMIFS(tb_Cartao_Credito_Detalhado[[Mês 20]:[Mês 20]],tb_Cartao_Credito_Detalhado[Mês/Ano],OFFSET(E$4,0,-19)),
SUMIFS(tb_Cartao_Credito_Detalhado[[Mês 21]:[Mês 21]],tb_Cartao_Credito_Detalhado[Mês/Ano],OFFSET(E$4,0,-20)),
SUMIFS(tb_Cartao_Credito_Detalhado[[Mês 22]:[Mês 22]],tb_Cartao_Credito_Detalhado[Mês/Ano],OFFSET(E$4,0,-21)),
SUMIFS(tb_Cartao_Credito_Detalhado[[Mês 23]:[Mês 23]],tb_Cartao_Credito_Detalhado[Mês/Ano],OFFSET(E$4,0,-22)),
SUMIFS(tb_Cartao_Credito_Detalhado[[Mês 24]:[Mês 24]],tb_Cartao_Credito_Detalhado[Mês/Ano],OFFSET(E$4,0,-23)),
SUMIFS(tb_Cartao_Credito_Detalhado[[Mês 25]:[Mês 25]],tb_Cartao_Credito_Detalhado[Mês/Ano],OFFSET(E$4,0,-24)),
SUMIFS(tb_Cartao_Credito_Detalhado[[Mês 26]:[Mês 26]],tb_Cartao_Credito_Detalhado[Mês/Ano],OFFSET(E$4,0,-25)),
SUMIFS(tb_Cartao_Credito_Detalhado[[Mês 27]:[Mês 27]],tb_Cartao_Credito_Detalhado[Mês/Ano],OFFSET(E$4,0,-26)),
SUMIFS(tb_Cartao_Credito_Detalhado[[Mês 28]:[Mês 28]],tb_Cartao_Credito_Detalhado[Mês/Ano],OFFSET(E$4,0,-27)),
SUMIFS(tb_Cartao_Credito_Detalhado[[Mês 29]:[Mês 29]],tb_Cartao_Credito_Detalhado[Mês/Ano],OFFSET(E$4,0,-28)),
SUMIFS(tb_Cartao_Credito_Detalhado[[Mês 30]:[Mês 30]],tb_Cartao_Credito_Detalhado[Mês/Ano],OFFSET(E$4,0,-29)),
SUMIFS(tb_Cartao_Credito_Detalhado[[Mês 31]:[Mês 31]],tb_Cartao_Credito_Detalhado[Mês/Ano],OFFSET(E$4,0,-30)),
SUMIFS(tb_Cartao_Credito_Detalhado[[Mês 32]:[Mês 32]],tb_Cartao_Credito_Detalhado[Mês/Ano],OFFSET(E$4,0,-31)),
SUMIFS(tb_Cartao_Credito_Detalhado[[Mês 33]:[Mês 33]],tb_Cartao_Credito_Detalhado[Mês/Ano],OFFSET(E$4,0,-32)),
SUMIFS(tb_Cartao_Credito_Detalhado[[Mês 34]:[Mês 34]],tb_Cartao_Credito_Detalhado[Mês/Ano],OFFSET(E$4,0,-33)),
SUMIFS(tb_Cartao_Credito_Detalhado[[Mês 35]:[Mês 35]],tb_Cartao_Credito_Detalhado[Mês/Ano],OFFSET(E$4,0,-34)),
SUMIFS(tb_Cartao_Credito_Detalhado[[Mês 36]:[Mês 36]],tb_Cartao_Credito_Detalhado[Mês/Ano],OFFSET(E$4,0,-35)),
SUMIFS(tb_Cartao_Credito_Detalhado[[Mês 37]:[Mês 37]],tb_Cartao_Credito_Detalhado[Mês/Ano],OFFSET(E$4,0,-36)),
SUMIFS(tb_Cartao_Credito_Detalhado[[Mês 38]:[Mês 38]],tb_Cartao_Credito_Detalhado[Mês/Ano],OFFSET(E$4,0,-37)),
SUMIFS(tb_Cartao_Credito_Detalhado[[Mês 39]:[Mês 39]],tb_Cartao_Credito_Detalhado[Mês/Ano],OFFSET(E$4,0,-38)),
SUMIFS(tb_Cartao_Credito_Detalhado[[Mês 40]:[Mês 40]],tb_Cartao_Credito_Detalhado[Mês/Ano],OFFSET(E$4,0,-39)),
SUMIFS(tb_Cartao_Credito_Detalhado[[Mês 41]:[Mês 41]],tb_Cartao_Credito_Detalhado[Mês/Ano],OFFSET(E$4,0,-40)),
SUMIFS(tb_Cartao_Credito_Detalhado[[Mês 42]:[Mês 42]],tb_Cartao_Credito_Detalhado[Mês/Ano],OFFSET(E$4,0,-41)),
SUMIFS(tb_Cartao_Credito_Detalhado[[Mês 43]:[Mês 43]],tb_Cartao_Credito_Detalhado[Mês/Ano],OFFSET(E$4,0,-42)),
SUMIFS(tb_Cartao_Credito_Detalhado[[Mês 44]:[Mês 44]],tb_Cartao_Credito_Detalhado[Mês/Ano],OFFSET(E$4,0,-43)),
SUMIFS(tb_Cartao_Credito_Detalhado[[Mês 45]:[Mês 45]],tb_Cartao_Credito_Detalhado[Mês/Ano],OFFSET(E$4,0,-44)),
)</f>
        <v>1008.5733333333334</v>
      </c>
      <c r="F5" s="28">
        <f ca="1">SUM(
SUMIFS(tb_Cartao_Credito_Detalhado[[Mês 1]:[Mês 1]],tb_Cartao_Credito_Detalhado[Mês/Ano],F$4),
SUMIFS(tb_Cartao_Credito_Detalhado[[Mês 2]:[Mês 2]],tb_Cartao_Credito_Detalhado[Mês/Ano],OFFSET(F$4,0,-1)),
SUMIFS(tb_Cartao_Credito_Detalhado[[Mês 3]:[Mês 3]],tb_Cartao_Credito_Detalhado[Mês/Ano],OFFSET(F$4,0,-2)),
SUMIFS(tb_Cartao_Credito_Detalhado[[Mês 4]:[Mês 4]],tb_Cartao_Credito_Detalhado[Mês/Ano],OFFSET(F$4,0,-3)),
SUMIFS(tb_Cartao_Credito_Detalhado[[Mês 5]:[Mês 5]],tb_Cartao_Credito_Detalhado[Mês/Ano],OFFSET(F$4,0,-4)),
SUMIFS(tb_Cartao_Credito_Detalhado[[Mês 6]:[Mês 6]],tb_Cartao_Credito_Detalhado[Mês/Ano],OFFSET(F$4,0,-5)),
SUMIFS(tb_Cartao_Credito_Detalhado[[Mês 7]:[Mês 7]],tb_Cartao_Credito_Detalhado[Mês/Ano],OFFSET(F$4,0,-6)),
SUMIFS(tb_Cartao_Credito_Detalhado[[Mês 8]:[Mês 8]],tb_Cartao_Credito_Detalhado[Mês/Ano],OFFSET(F$4,0,-7)),
SUMIFS(tb_Cartao_Credito_Detalhado[[Mês 9]:[Mês 9]],tb_Cartao_Credito_Detalhado[Mês/Ano],OFFSET(F$4,0,-8)),
SUMIFS(tb_Cartao_Credito_Detalhado[[Mês 10]:[Mês 10]],tb_Cartao_Credito_Detalhado[Mês/Ano],OFFSET(F$4,0,-9)),
SUMIFS(tb_Cartao_Credito_Detalhado[[Mês 11]:[Mês 11]],tb_Cartao_Credito_Detalhado[Mês/Ano],OFFSET(F$4,0,-10)),
SUMIFS(tb_Cartao_Credito_Detalhado[[Mês 12]:[Mês 12]],tb_Cartao_Credito_Detalhado[Mês/Ano],OFFSET(F$4,0,-11)),
SUMIFS(tb_Cartao_Credito_Detalhado[[Mês 13]:[Mês 13]],tb_Cartao_Credito_Detalhado[Mês/Ano],OFFSET(F$4,0,-12)),
SUMIFS(tb_Cartao_Credito_Detalhado[[Mês 14]:[Mês 14]],tb_Cartao_Credito_Detalhado[Mês/Ano],OFFSET(F$4,0,-13)),
SUMIFS(tb_Cartao_Credito_Detalhado[[Mês 15]:[Mês 15]],tb_Cartao_Credito_Detalhado[Mês/Ano],OFFSET(F$4,0,-14)),
SUMIFS(tb_Cartao_Credito_Detalhado[[Mês 16]:[Mês 16]],tb_Cartao_Credito_Detalhado[Mês/Ano],OFFSET(F$4,0,-15)),
SUMIFS(tb_Cartao_Credito_Detalhado[[Mês 17]:[Mês 17]],tb_Cartao_Credito_Detalhado[Mês/Ano],OFFSET(F$4,0,-16)),
SUMIFS(tb_Cartao_Credito_Detalhado[[Mês 18]:[Mês 18]],tb_Cartao_Credito_Detalhado[Mês/Ano],OFFSET(F$4,0,-17)),
SUMIFS(tb_Cartao_Credito_Detalhado[[Mês 19]:[Mês 19]],tb_Cartao_Credito_Detalhado[Mês/Ano],OFFSET(F$4,0,-18)),
SUMIFS(tb_Cartao_Credito_Detalhado[[Mês 20]:[Mês 20]],tb_Cartao_Credito_Detalhado[Mês/Ano],OFFSET(F$4,0,-19)),
SUMIFS(tb_Cartao_Credito_Detalhado[[Mês 21]:[Mês 21]],tb_Cartao_Credito_Detalhado[Mês/Ano],OFFSET(F$4,0,-20)),
SUMIFS(tb_Cartao_Credito_Detalhado[[Mês 22]:[Mês 22]],tb_Cartao_Credito_Detalhado[Mês/Ano],OFFSET(F$4,0,-21)),
SUMIFS(tb_Cartao_Credito_Detalhado[[Mês 23]:[Mês 23]],tb_Cartao_Credito_Detalhado[Mês/Ano],OFFSET(F$4,0,-22)),
SUMIFS(tb_Cartao_Credito_Detalhado[[Mês 24]:[Mês 24]],tb_Cartao_Credito_Detalhado[Mês/Ano],OFFSET(F$4,0,-23)),
SUMIFS(tb_Cartao_Credito_Detalhado[[Mês 25]:[Mês 25]],tb_Cartao_Credito_Detalhado[Mês/Ano],OFFSET(F$4,0,-24)),
SUMIFS(tb_Cartao_Credito_Detalhado[[Mês 26]:[Mês 26]],tb_Cartao_Credito_Detalhado[Mês/Ano],OFFSET(F$4,0,-25)),
SUMIFS(tb_Cartao_Credito_Detalhado[[Mês 27]:[Mês 27]],tb_Cartao_Credito_Detalhado[Mês/Ano],OFFSET(F$4,0,-26)),
SUMIFS(tb_Cartao_Credito_Detalhado[[Mês 28]:[Mês 28]],tb_Cartao_Credito_Detalhado[Mês/Ano],OFFSET(F$4,0,-27)),
SUMIFS(tb_Cartao_Credito_Detalhado[[Mês 29]:[Mês 29]],tb_Cartao_Credito_Detalhado[Mês/Ano],OFFSET(F$4,0,-28)),
SUMIFS(tb_Cartao_Credito_Detalhado[[Mês 30]:[Mês 30]],tb_Cartao_Credito_Detalhado[Mês/Ano],OFFSET(F$4,0,-29)),
SUMIFS(tb_Cartao_Credito_Detalhado[[Mês 31]:[Mês 31]],tb_Cartao_Credito_Detalhado[Mês/Ano],OFFSET(F$4,0,-30)),
SUMIFS(tb_Cartao_Credito_Detalhado[[Mês 32]:[Mês 32]],tb_Cartao_Credito_Detalhado[Mês/Ano],OFFSET(F$4,0,-31)),
SUMIFS(tb_Cartao_Credito_Detalhado[[Mês 33]:[Mês 33]],tb_Cartao_Credito_Detalhado[Mês/Ano],OFFSET(F$4,0,-32)),
SUMIFS(tb_Cartao_Credito_Detalhado[[Mês 34]:[Mês 34]],tb_Cartao_Credito_Detalhado[Mês/Ano],OFFSET(F$4,0,-33)),
SUMIFS(tb_Cartao_Credito_Detalhado[[Mês 35]:[Mês 35]],tb_Cartao_Credito_Detalhado[Mês/Ano],OFFSET(F$4,0,-34)),
SUMIFS(tb_Cartao_Credito_Detalhado[[Mês 36]:[Mês 36]],tb_Cartao_Credito_Detalhado[Mês/Ano],OFFSET(F$4,0,-35)),
SUMIFS(tb_Cartao_Credito_Detalhado[[Mês 37]:[Mês 37]],tb_Cartao_Credito_Detalhado[Mês/Ano],OFFSET(F$4,0,-36)),
SUMIFS(tb_Cartao_Credito_Detalhado[[Mês 38]:[Mês 38]],tb_Cartao_Credito_Detalhado[Mês/Ano],OFFSET(F$4,0,-37)),
SUMIFS(tb_Cartao_Credito_Detalhado[[Mês 39]:[Mês 39]],tb_Cartao_Credito_Detalhado[Mês/Ano],OFFSET(F$4,0,-38)),
SUMIFS(tb_Cartao_Credito_Detalhado[[Mês 40]:[Mês 40]],tb_Cartao_Credito_Detalhado[Mês/Ano],OFFSET(F$4,0,-39)),
SUMIFS(tb_Cartao_Credito_Detalhado[[Mês 41]:[Mês 41]],tb_Cartao_Credito_Detalhado[Mês/Ano],OFFSET(F$4,0,-40)),
SUMIFS(tb_Cartao_Credito_Detalhado[[Mês 42]:[Mês 42]],tb_Cartao_Credito_Detalhado[Mês/Ano],OFFSET(F$4,0,-41)),
SUMIFS(tb_Cartao_Credito_Detalhado[[Mês 43]:[Mês 43]],tb_Cartao_Credito_Detalhado[Mês/Ano],OFFSET(F$4,0,-42)),
SUMIFS(tb_Cartao_Credito_Detalhado[[Mês 44]:[Mês 44]],tb_Cartao_Credito_Detalhado[Mês/Ano],OFFSET(F$4,0,-43)),
SUMIFS(tb_Cartao_Credito_Detalhado[[Mês 45]:[Mês 45]],tb_Cartao_Credito_Detalhado[Mês/Ano],OFFSET(F$4,0,-44)),
)</f>
        <v>708.66333333333341</v>
      </c>
      <c r="G5" s="28">
        <f ca="1">SUM(
SUMIFS(tb_Cartao_Credito_Detalhado[[Mês 1]:[Mês 1]],tb_Cartao_Credito_Detalhado[Mês/Ano],G$4),
SUMIFS(tb_Cartao_Credito_Detalhado[[Mês 2]:[Mês 2]],tb_Cartao_Credito_Detalhado[Mês/Ano],OFFSET(G$4,0,-1)),
SUMIFS(tb_Cartao_Credito_Detalhado[[Mês 3]:[Mês 3]],tb_Cartao_Credito_Detalhado[Mês/Ano],OFFSET(G$4,0,-2)),
SUMIFS(tb_Cartao_Credito_Detalhado[[Mês 4]:[Mês 4]],tb_Cartao_Credito_Detalhado[Mês/Ano],OFFSET(G$4,0,-3)),
SUMIFS(tb_Cartao_Credito_Detalhado[[Mês 5]:[Mês 5]],tb_Cartao_Credito_Detalhado[Mês/Ano],OFFSET(G$4,0,-4)),
SUMIFS(tb_Cartao_Credito_Detalhado[[Mês 6]:[Mês 6]],tb_Cartao_Credito_Detalhado[Mês/Ano],OFFSET(G$4,0,-5)),
SUMIFS(tb_Cartao_Credito_Detalhado[[Mês 7]:[Mês 7]],tb_Cartao_Credito_Detalhado[Mês/Ano],OFFSET(G$4,0,-6)),
SUMIFS(tb_Cartao_Credito_Detalhado[[Mês 8]:[Mês 8]],tb_Cartao_Credito_Detalhado[Mês/Ano],OFFSET(G$4,0,-7)),
SUMIFS(tb_Cartao_Credito_Detalhado[[Mês 9]:[Mês 9]],tb_Cartao_Credito_Detalhado[Mês/Ano],OFFSET(G$4,0,-8)),
SUMIFS(tb_Cartao_Credito_Detalhado[[Mês 10]:[Mês 10]],tb_Cartao_Credito_Detalhado[Mês/Ano],OFFSET(G$4,0,-9)),
SUMIFS(tb_Cartao_Credito_Detalhado[[Mês 11]:[Mês 11]],tb_Cartao_Credito_Detalhado[Mês/Ano],OFFSET(G$4,0,-10)),
SUMIFS(tb_Cartao_Credito_Detalhado[[Mês 12]:[Mês 12]],tb_Cartao_Credito_Detalhado[Mês/Ano],OFFSET(G$4,0,-11)),
SUMIFS(tb_Cartao_Credito_Detalhado[[Mês 13]:[Mês 13]],tb_Cartao_Credito_Detalhado[Mês/Ano],OFFSET(G$4,0,-12)),
SUMIFS(tb_Cartao_Credito_Detalhado[[Mês 14]:[Mês 14]],tb_Cartao_Credito_Detalhado[Mês/Ano],OFFSET(G$4,0,-13)),
SUMIFS(tb_Cartao_Credito_Detalhado[[Mês 15]:[Mês 15]],tb_Cartao_Credito_Detalhado[Mês/Ano],OFFSET(G$4,0,-14)),
SUMIFS(tb_Cartao_Credito_Detalhado[[Mês 16]:[Mês 16]],tb_Cartao_Credito_Detalhado[Mês/Ano],OFFSET(G$4,0,-15)),
SUMIFS(tb_Cartao_Credito_Detalhado[[Mês 17]:[Mês 17]],tb_Cartao_Credito_Detalhado[Mês/Ano],OFFSET(G$4,0,-16)),
SUMIFS(tb_Cartao_Credito_Detalhado[[Mês 18]:[Mês 18]],tb_Cartao_Credito_Detalhado[Mês/Ano],OFFSET(G$4,0,-17)),
SUMIFS(tb_Cartao_Credito_Detalhado[[Mês 19]:[Mês 19]],tb_Cartao_Credito_Detalhado[Mês/Ano],OFFSET(G$4,0,-18)),
SUMIFS(tb_Cartao_Credito_Detalhado[[Mês 20]:[Mês 20]],tb_Cartao_Credito_Detalhado[Mês/Ano],OFFSET(G$4,0,-19)),
SUMIFS(tb_Cartao_Credito_Detalhado[[Mês 21]:[Mês 21]],tb_Cartao_Credito_Detalhado[Mês/Ano],OFFSET(G$4,0,-20)),
SUMIFS(tb_Cartao_Credito_Detalhado[[Mês 22]:[Mês 22]],tb_Cartao_Credito_Detalhado[Mês/Ano],OFFSET(G$4,0,-21)),
SUMIFS(tb_Cartao_Credito_Detalhado[[Mês 23]:[Mês 23]],tb_Cartao_Credito_Detalhado[Mês/Ano],OFFSET(G$4,0,-22)),
SUMIFS(tb_Cartao_Credito_Detalhado[[Mês 24]:[Mês 24]],tb_Cartao_Credito_Detalhado[Mês/Ano],OFFSET(G$4,0,-23)),
SUMIFS(tb_Cartao_Credito_Detalhado[[Mês 25]:[Mês 25]],tb_Cartao_Credito_Detalhado[Mês/Ano],OFFSET(G$4,0,-24)),
SUMIFS(tb_Cartao_Credito_Detalhado[[Mês 26]:[Mês 26]],tb_Cartao_Credito_Detalhado[Mês/Ano],OFFSET(G$4,0,-25)),
SUMIFS(tb_Cartao_Credito_Detalhado[[Mês 27]:[Mês 27]],tb_Cartao_Credito_Detalhado[Mês/Ano],OFFSET(G$4,0,-26)),
SUMIFS(tb_Cartao_Credito_Detalhado[[Mês 28]:[Mês 28]],tb_Cartao_Credito_Detalhado[Mês/Ano],OFFSET(G$4,0,-27)),
SUMIFS(tb_Cartao_Credito_Detalhado[[Mês 29]:[Mês 29]],tb_Cartao_Credito_Detalhado[Mês/Ano],OFFSET(G$4,0,-28)),
SUMIFS(tb_Cartao_Credito_Detalhado[[Mês 30]:[Mês 30]],tb_Cartao_Credito_Detalhado[Mês/Ano],OFFSET(G$4,0,-29)),
SUMIFS(tb_Cartao_Credito_Detalhado[[Mês 31]:[Mês 31]],tb_Cartao_Credito_Detalhado[Mês/Ano],OFFSET(G$4,0,-30)),
SUMIFS(tb_Cartao_Credito_Detalhado[[Mês 32]:[Mês 32]],tb_Cartao_Credito_Detalhado[Mês/Ano],OFFSET(G$4,0,-31)),
SUMIFS(tb_Cartao_Credito_Detalhado[[Mês 33]:[Mês 33]],tb_Cartao_Credito_Detalhado[Mês/Ano],OFFSET(G$4,0,-32)),
SUMIFS(tb_Cartao_Credito_Detalhado[[Mês 34]:[Mês 34]],tb_Cartao_Credito_Detalhado[Mês/Ano],OFFSET(G$4,0,-33)),
SUMIFS(tb_Cartao_Credito_Detalhado[[Mês 35]:[Mês 35]],tb_Cartao_Credito_Detalhado[Mês/Ano],OFFSET(G$4,0,-34)),
SUMIFS(tb_Cartao_Credito_Detalhado[[Mês 36]:[Mês 36]],tb_Cartao_Credito_Detalhado[Mês/Ano],OFFSET(G$4,0,-35)),
SUMIFS(tb_Cartao_Credito_Detalhado[[Mês 37]:[Mês 37]],tb_Cartao_Credito_Detalhado[Mês/Ano],OFFSET(G$4,0,-36)),
SUMIFS(tb_Cartao_Credito_Detalhado[[Mês 38]:[Mês 38]],tb_Cartao_Credito_Detalhado[Mês/Ano],OFFSET(G$4,0,-37)),
SUMIFS(tb_Cartao_Credito_Detalhado[[Mês 39]:[Mês 39]],tb_Cartao_Credito_Detalhado[Mês/Ano],OFFSET(G$4,0,-38)),
SUMIFS(tb_Cartao_Credito_Detalhado[[Mês 40]:[Mês 40]],tb_Cartao_Credito_Detalhado[Mês/Ano],OFFSET(G$4,0,-39)),
SUMIFS(tb_Cartao_Credito_Detalhado[[Mês 41]:[Mês 41]],tb_Cartao_Credito_Detalhado[Mês/Ano],OFFSET(G$4,0,-40)),
SUMIFS(tb_Cartao_Credito_Detalhado[[Mês 42]:[Mês 42]],tb_Cartao_Credito_Detalhado[Mês/Ano],OFFSET(G$4,0,-41)),
SUMIFS(tb_Cartao_Credito_Detalhado[[Mês 43]:[Mês 43]],tb_Cartao_Credito_Detalhado[Mês/Ano],OFFSET(G$4,0,-42)),
SUMIFS(tb_Cartao_Credito_Detalhado[[Mês 44]:[Mês 44]],tb_Cartao_Credito_Detalhado[Mês/Ano],OFFSET(G$4,0,-43)),
SUMIFS(tb_Cartao_Credito_Detalhado[[Mês 45]:[Mês 45]],tb_Cartao_Credito_Detalhado[Mês/Ano],OFFSET(G$4,0,-44)),
)</f>
        <v>500.09000000000003</v>
      </c>
      <c r="H5" s="28">
        <f ca="1">SUM(
SUMIFS(tb_Cartao_Credito_Detalhado[[Mês 1]:[Mês 1]],tb_Cartao_Credito_Detalhado[Mês/Ano],H$4),
SUMIFS(tb_Cartao_Credito_Detalhado[[Mês 2]:[Mês 2]],tb_Cartao_Credito_Detalhado[Mês/Ano],OFFSET(H$4,0,-1)),
SUMIFS(tb_Cartao_Credito_Detalhado[[Mês 3]:[Mês 3]],tb_Cartao_Credito_Detalhado[Mês/Ano],OFFSET(H$4,0,-2)),
SUMIFS(tb_Cartao_Credito_Detalhado[[Mês 4]:[Mês 4]],tb_Cartao_Credito_Detalhado[Mês/Ano],OFFSET(H$4,0,-3)),
SUMIFS(tb_Cartao_Credito_Detalhado[[Mês 5]:[Mês 5]],tb_Cartao_Credito_Detalhado[Mês/Ano],OFFSET(H$4,0,-4)),
SUMIFS(tb_Cartao_Credito_Detalhado[[Mês 6]:[Mês 6]],tb_Cartao_Credito_Detalhado[Mês/Ano],OFFSET(H$4,0,-5)),
SUMIFS(tb_Cartao_Credito_Detalhado[[Mês 7]:[Mês 7]],tb_Cartao_Credito_Detalhado[Mês/Ano],OFFSET(H$4,0,-6)),
SUMIFS(tb_Cartao_Credito_Detalhado[[Mês 8]:[Mês 8]],tb_Cartao_Credito_Detalhado[Mês/Ano],OFFSET(H$4,0,-7)),
SUMIFS(tb_Cartao_Credito_Detalhado[[Mês 9]:[Mês 9]],tb_Cartao_Credito_Detalhado[Mês/Ano],OFFSET(H$4,0,-8)),
SUMIFS(tb_Cartao_Credito_Detalhado[[Mês 10]:[Mês 10]],tb_Cartao_Credito_Detalhado[Mês/Ano],OFFSET(H$4,0,-9)),
SUMIFS(tb_Cartao_Credito_Detalhado[[Mês 11]:[Mês 11]],tb_Cartao_Credito_Detalhado[Mês/Ano],OFFSET(H$4,0,-10)),
SUMIFS(tb_Cartao_Credito_Detalhado[[Mês 12]:[Mês 12]],tb_Cartao_Credito_Detalhado[Mês/Ano],OFFSET(H$4,0,-11)),
SUMIFS(tb_Cartao_Credito_Detalhado[[Mês 13]:[Mês 13]],tb_Cartao_Credito_Detalhado[Mês/Ano],OFFSET(H$4,0,-12)),
SUMIFS(tb_Cartao_Credito_Detalhado[[Mês 14]:[Mês 14]],tb_Cartao_Credito_Detalhado[Mês/Ano],OFFSET(H$4,0,-13)),
SUMIFS(tb_Cartao_Credito_Detalhado[[Mês 15]:[Mês 15]],tb_Cartao_Credito_Detalhado[Mês/Ano],OFFSET(H$4,0,-14)),
SUMIFS(tb_Cartao_Credito_Detalhado[[Mês 16]:[Mês 16]],tb_Cartao_Credito_Detalhado[Mês/Ano],OFFSET(H$4,0,-15)),
SUMIFS(tb_Cartao_Credito_Detalhado[[Mês 17]:[Mês 17]],tb_Cartao_Credito_Detalhado[Mês/Ano],OFFSET(H$4,0,-16)),
SUMIFS(tb_Cartao_Credito_Detalhado[[Mês 18]:[Mês 18]],tb_Cartao_Credito_Detalhado[Mês/Ano],OFFSET(H$4,0,-17)),
SUMIFS(tb_Cartao_Credito_Detalhado[[Mês 19]:[Mês 19]],tb_Cartao_Credito_Detalhado[Mês/Ano],OFFSET(H$4,0,-18)),
SUMIFS(tb_Cartao_Credito_Detalhado[[Mês 20]:[Mês 20]],tb_Cartao_Credito_Detalhado[Mês/Ano],OFFSET(H$4,0,-19)),
SUMIFS(tb_Cartao_Credito_Detalhado[[Mês 21]:[Mês 21]],tb_Cartao_Credito_Detalhado[Mês/Ano],OFFSET(H$4,0,-20)),
SUMIFS(tb_Cartao_Credito_Detalhado[[Mês 22]:[Mês 22]],tb_Cartao_Credito_Detalhado[Mês/Ano],OFFSET(H$4,0,-21)),
SUMIFS(tb_Cartao_Credito_Detalhado[[Mês 23]:[Mês 23]],tb_Cartao_Credito_Detalhado[Mês/Ano],OFFSET(H$4,0,-22)),
SUMIFS(tb_Cartao_Credito_Detalhado[[Mês 24]:[Mês 24]],tb_Cartao_Credito_Detalhado[Mês/Ano],OFFSET(H$4,0,-23)),
SUMIFS(tb_Cartao_Credito_Detalhado[[Mês 25]:[Mês 25]],tb_Cartao_Credito_Detalhado[Mês/Ano],OFFSET(H$4,0,-24)),
SUMIFS(tb_Cartao_Credito_Detalhado[[Mês 26]:[Mês 26]],tb_Cartao_Credito_Detalhado[Mês/Ano],OFFSET(H$4,0,-25)),
SUMIFS(tb_Cartao_Credito_Detalhado[[Mês 27]:[Mês 27]],tb_Cartao_Credito_Detalhado[Mês/Ano],OFFSET(H$4,0,-26)),
SUMIFS(tb_Cartao_Credito_Detalhado[[Mês 28]:[Mês 28]],tb_Cartao_Credito_Detalhado[Mês/Ano],OFFSET(H$4,0,-27)),
SUMIFS(tb_Cartao_Credito_Detalhado[[Mês 29]:[Mês 29]],tb_Cartao_Credito_Detalhado[Mês/Ano],OFFSET(H$4,0,-28)),
SUMIFS(tb_Cartao_Credito_Detalhado[[Mês 30]:[Mês 30]],tb_Cartao_Credito_Detalhado[Mês/Ano],OFFSET(H$4,0,-29)),
SUMIFS(tb_Cartao_Credito_Detalhado[[Mês 31]:[Mês 31]],tb_Cartao_Credito_Detalhado[Mês/Ano],OFFSET(H$4,0,-30)),
SUMIFS(tb_Cartao_Credito_Detalhado[[Mês 32]:[Mês 32]],tb_Cartao_Credito_Detalhado[Mês/Ano],OFFSET(H$4,0,-31)),
SUMIFS(tb_Cartao_Credito_Detalhado[[Mês 33]:[Mês 33]],tb_Cartao_Credito_Detalhado[Mês/Ano],OFFSET(H$4,0,-32)),
SUMIFS(tb_Cartao_Credito_Detalhado[[Mês 34]:[Mês 34]],tb_Cartao_Credito_Detalhado[Mês/Ano],OFFSET(H$4,0,-33)),
SUMIFS(tb_Cartao_Credito_Detalhado[[Mês 35]:[Mês 35]],tb_Cartao_Credito_Detalhado[Mês/Ano],OFFSET(H$4,0,-34)),
SUMIFS(tb_Cartao_Credito_Detalhado[[Mês 36]:[Mês 36]],tb_Cartao_Credito_Detalhado[Mês/Ano],OFFSET(H$4,0,-35)),
SUMIFS(tb_Cartao_Credito_Detalhado[[Mês 37]:[Mês 37]],tb_Cartao_Credito_Detalhado[Mês/Ano],OFFSET(H$4,0,-36)),
SUMIFS(tb_Cartao_Credito_Detalhado[[Mês 38]:[Mês 38]],tb_Cartao_Credito_Detalhado[Mês/Ano],OFFSET(H$4,0,-37)),
SUMIFS(tb_Cartao_Credito_Detalhado[[Mês 39]:[Mês 39]],tb_Cartao_Credito_Detalhado[Mês/Ano],OFFSET(H$4,0,-38)),
SUMIFS(tb_Cartao_Credito_Detalhado[[Mês 40]:[Mês 40]],tb_Cartao_Credito_Detalhado[Mês/Ano],OFFSET(H$4,0,-39)),
SUMIFS(tb_Cartao_Credito_Detalhado[[Mês 41]:[Mês 41]],tb_Cartao_Credito_Detalhado[Mês/Ano],OFFSET(H$4,0,-40)),
SUMIFS(tb_Cartao_Credito_Detalhado[[Mês 42]:[Mês 42]],tb_Cartao_Credito_Detalhado[Mês/Ano],OFFSET(H$4,0,-41)),
SUMIFS(tb_Cartao_Credito_Detalhado[[Mês 43]:[Mês 43]],tb_Cartao_Credito_Detalhado[Mês/Ano],OFFSET(H$4,0,-42)),
SUMIFS(tb_Cartao_Credito_Detalhado[[Mês 44]:[Mês 44]],tb_Cartao_Credito_Detalhado[Mês/Ano],OFFSET(H$4,0,-43)),
SUMIFS(tb_Cartao_Credito_Detalhado[[Mês 45]:[Mês 45]],tb_Cartao_Credito_Detalhado[Mês/Ano],OFFSET(H$4,0,-44)),
)</f>
        <v>1493.29</v>
      </c>
      <c r="I5" s="28">
        <f ca="1">SUM(
SUMIFS(tb_Cartao_Credito_Detalhado[[Mês 1]:[Mês 1]],tb_Cartao_Credito_Detalhado[Mês/Ano],I$4),
SUMIFS(tb_Cartao_Credito_Detalhado[[Mês 2]:[Mês 2]],tb_Cartao_Credito_Detalhado[Mês/Ano],OFFSET(I$4,0,-1)),
SUMIFS(tb_Cartao_Credito_Detalhado[[Mês 3]:[Mês 3]],tb_Cartao_Credito_Detalhado[Mês/Ano],OFFSET(I$4,0,-2)),
SUMIFS(tb_Cartao_Credito_Detalhado[[Mês 4]:[Mês 4]],tb_Cartao_Credito_Detalhado[Mês/Ano],OFFSET(I$4,0,-3)),
SUMIFS(tb_Cartao_Credito_Detalhado[[Mês 5]:[Mês 5]],tb_Cartao_Credito_Detalhado[Mês/Ano],OFFSET(I$4,0,-4)),
SUMIFS(tb_Cartao_Credito_Detalhado[[Mês 6]:[Mês 6]],tb_Cartao_Credito_Detalhado[Mês/Ano],OFFSET(I$4,0,-5)),
SUMIFS(tb_Cartao_Credito_Detalhado[[Mês 7]:[Mês 7]],tb_Cartao_Credito_Detalhado[Mês/Ano],OFFSET(I$4,0,-6)),
SUMIFS(tb_Cartao_Credito_Detalhado[[Mês 8]:[Mês 8]],tb_Cartao_Credito_Detalhado[Mês/Ano],OFFSET(I$4,0,-7)),
SUMIFS(tb_Cartao_Credito_Detalhado[[Mês 9]:[Mês 9]],tb_Cartao_Credito_Detalhado[Mês/Ano],OFFSET(I$4,0,-8)),
SUMIFS(tb_Cartao_Credito_Detalhado[[Mês 10]:[Mês 10]],tb_Cartao_Credito_Detalhado[Mês/Ano],OFFSET(I$4,0,-9)),
SUMIFS(tb_Cartao_Credito_Detalhado[[Mês 11]:[Mês 11]],tb_Cartao_Credito_Detalhado[Mês/Ano],OFFSET(I$4,0,-10)),
SUMIFS(tb_Cartao_Credito_Detalhado[[Mês 12]:[Mês 12]],tb_Cartao_Credito_Detalhado[Mês/Ano],OFFSET(I$4,0,-11)),
SUMIFS(tb_Cartao_Credito_Detalhado[[Mês 13]:[Mês 13]],tb_Cartao_Credito_Detalhado[Mês/Ano],OFFSET(I$4,0,-12)),
SUMIFS(tb_Cartao_Credito_Detalhado[[Mês 14]:[Mês 14]],tb_Cartao_Credito_Detalhado[Mês/Ano],OFFSET(I$4,0,-13)),
SUMIFS(tb_Cartao_Credito_Detalhado[[Mês 15]:[Mês 15]],tb_Cartao_Credito_Detalhado[Mês/Ano],OFFSET(I$4,0,-14)),
SUMIFS(tb_Cartao_Credito_Detalhado[[Mês 16]:[Mês 16]],tb_Cartao_Credito_Detalhado[Mês/Ano],OFFSET(I$4,0,-15)),
SUMIFS(tb_Cartao_Credito_Detalhado[[Mês 17]:[Mês 17]],tb_Cartao_Credito_Detalhado[Mês/Ano],OFFSET(I$4,0,-16)),
SUMIFS(tb_Cartao_Credito_Detalhado[[Mês 18]:[Mês 18]],tb_Cartao_Credito_Detalhado[Mês/Ano],OFFSET(I$4,0,-17)),
SUMIFS(tb_Cartao_Credito_Detalhado[[Mês 19]:[Mês 19]],tb_Cartao_Credito_Detalhado[Mês/Ano],OFFSET(I$4,0,-18)),
SUMIFS(tb_Cartao_Credito_Detalhado[[Mês 20]:[Mês 20]],tb_Cartao_Credito_Detalhado[Mês/Ano],OFFSET(I$4,0,-19)),
SUMIFS(tb_Cartao_Credito_Detalhado[[Mês 21]:[Mês 21]],tb_Cartao_Credito_Detalhado[Mês/Ano],OFFSET(I$4,0,-20)),
SUMIFS(tb_Cartao_Credito_Detalhado[[Mês 22]:[Mês 22]],tb_Cartao_Credito_Detalhado[Mês/Ano],OFFSET(I$4,0,-21)),
SUMIFS(tb_Cartao_Credito_Detalhado[[Mês 23]:[Mês 23]],tb_Cartao_Credito_Detalhado[Mês/Ano],OFFSET(I$4,0,-22)),
SUMIFS(tb_Cartao_Credito_Detalhado[[Mês 24]:[Mês 24]],tb_Cartao_Credito_Detalhado[Mês/Ano],OFFSET(I$4,0,-23)),
SUMIFS(tb_Cartao_Credito_Detalhado[[Mês 25]:[Mês 25]],tb_Cartao_Credito_Detalhado[Mês/Ano],OFFSET(I$4,0,-24)),
SUMIFS(tb_Cartao_Credito_Detalhado[[Mês 26]:[Mês 26]],tb_Cartao_Credito_Detalhado[Mês/Ano],OFFSET(I$4,0,-25)),
SUMIFS(tb_Cartao_Credito_Detalhado[[Mês 27]:[Mês 27]],tb_Cartao_Credito_Detalhado[Mês/Ano],OFFSET(I$4,0,-26)),
SUMIFS(tb_Cartao_Credito_Detalhado[[Mês 28]:[Mês 28]],tb_Cartao_Credito_Detalhado[Mês/Ano],OFFSET(I$4,0,-27)),
SUMIFS(tb_Cartao_Credito_Detalhado[[Mês 29]:[Mês 29]],tb_Cartao_Credito_Detalhado[Mês/Ano],OFFSET(I$4,0,-28)),
SUMIFS(tb_Cartao_Credito_Detalhado[[Mês 30]:[Mês 30]],tb_Cartao_Credito_Detalhado[Mês/Ano],OFFSET(I$4,0,-29)),
SUMIFS(tb_Cartao_Credito_Detalhado[[Mês 31]:[Mês 31]],tb_Cartao_Credito_Detalhado[Mês/Ano],OFFSET(I$4,0,-30)),
SUMIFS(tb_Cartao_Credito_Detalhado[[Mês 32]:[Mês 32]],tb_Cartao_Credito_Detalhado[Mês/Ano],OFFSET(I$4,0,-31)),
SUMIFS(tb_Cartao_Credito_Detalhado[[Mês 33]:[Mês 33]],tb_Cartao_Credito_Detalhado[Mês/Ano],OFFSET(I$4,0,-32)),
SUMIFS(tb_Cartao_Credito_Detalhado[[Mês 34]:[Mês 34]],tb_Cartao_Credito_Detalhado[Mês/Ano],OFFSET(I$4,0,-33)),
SUMIFS(tb_Cartao_Credito_Detalhado[[Mês 35]:[Mês 35]],tb_Cartao_Credito_Detalhado[Mês/Ano],OFFSET(I$4,0,-34)),
SUMIFS(tb_Cartao_Credito_Detalhado[[Mês 36]:[Mês 36]],tb_Cartao_Credito_Detalhado[Mês/Ano],OFFSET(I$4,0,-35)),
SUMIFS(tb_Cartao_Credito_Detalhado[[Mês 37]:[Mês 37]],tb_Cartao_Credito_Detalhado[Mês/Ano],OFFSET(I$4,0,-36)),
SUMIFS(tb_Cartao_Credito_Detalhado[[Mês 38]:[Mês 38]],tb_Cartao_Credito_Detalhado[Mês/Ano],OFFSET(I$4,0,-37)),
SUMIFS(tb_Cartao_Credito_Detalhado[[Mês 39]:[Mês 39]],tb_Cartao_Credito_Detalhado[Mês/Ano],OFFSET(I$4,0,-38)),
SUMIFS(tb_Cartao_Credito_Detalhado[[Mês 40]:[Mês 40]],tb_Cartao_Credito_Detalhado[Mês/Ano],OFFSET(I$4,0,-39)),
SUMIFS(tb_Cartao_Credito_Detalhado[[Mês 41]:[Mês 41]],tb_Cartao_Credito_Detalhado[Mês/Ano],OFFSET(I$4,0,-40)),
SUMIFS(tb_Cartao_Credito_Detalhado[[Mês 42]:[Mês 42]],tb_Cartao_Credito_Detalhado[Mês/Ano],OFFSET(I$4,0,-41)),
SUMIFS(tb_Cartao_Credito_Detalhado[[Mês 43]:[Mês 43]],tb_Cartao_Credito_Detalhado[Mês/Ano],OFFSET(I$4,0,-42)),
SUMIFS(tb_Cartao_Credito_Detalhado[[Mês 44]:[Mês 44]],tb_Cartao_Credito_Detalhado[Mês/Ano],OFFSET(I$4,0,-43)),
SUMIFS(tb_Cartao_Credito_Detalhado[[Mês 45]:[Mês 45]],tb_Cartao_Credito_Detalhado[Mês/Ano],OFFSET(I$4,0,-44)),
)</f>
        <v>136.09</v>
      </c>
      <c r="J5" s="28">
        <f ca="1">SUM(
SUMIFS(tb_Cartao_Credito_Detalhado[[Mês 1]:[Mês 1]],tb_Cartao_Credito_Detalhado[Mês/Ano],J$4),
SUMIFS(tb_Cartao_Credito_Detalhado[[Mês 2]:[Mês 2]],tb_Cartao_Credito_Detalhado[Mês/Ano],OFFSET(J$4,0,-1)),
SUMIFS(tb_Cartao_Credito_Detalhado[[Mês 3]:[Mês 3]],tb_Cartao_Credito_Detalhado[Mês/Ano],OFFSET(J$4,0,-2)),
SUMIFS(tb_Cartao_Credito_Detalhado[[Mês 4]:[Mês 4]],tb_Cartao_Credito_Detalhado[Mês/Ano],OFFSET(J$4,0,-3)),
SUMIFS(tb_Cartao_Credito_Detalhado[[Mês 5]:[Mês 5]],tb_Cartao_Credito_Detalhado[Mês/Ano],OFFSET(J$4,0,-4)),
SUMIFS(tb_Cartao_Credito_Detalhado[[Mês 6]:[Mês 6]],tb_Cartao_Credito_Detalhado[Mês/Ano],OFFSET(J$4,0,-5)),
SUMIFS(tb_Cartao_Credito_Detalhado[[Mês 7]:[Mês 7]],tb_Cartao_Credito_Detalhado[Mês/Ano],OFFSET(J$4,0,-6)),
SUMIFS(tb_Cartao_Credito_Detalhado[[Mês 8]:[Mês 8]],tb_Cartao_Credito_Detalhado[Mês/Ano],OFFSET(J$4,0,-7)),
SUMIFS(tb_Cartao_Credito_Detalhado[[Mês 9]:[Mês 9]],tb_Cartao_Credito_Detalhado[Mês/Ano],OFFSET(J$4,0,-8)),
SUMIFS(tb_Cartao_Credito_Detalhado[[Mês 10]:[Mês 10]],tb_Cartao_Credito_Detalhado[Mês/Ano],OFFSET(J$4,0,-9)),
SUMIFS(tb_Cartao_Credito_Detalhado[[Mês 11]:[Mês 11]],tb_Cartao_Credito_Detalhado[Mês/Ano],OFFSET(J$4,0,-10)),
SUMIFS(tb_Cartao_Credito_Detalhado[[Mês 12]:[Mês 12]],tb_Cartao_Credito_Detalhado[Mês/Ano],OFFSET(J$4,0,-11)),
SUMIFS(tb_Cartao_Credito_Detalhado[[Mês 13]:[Mês 13]],tb_Cartao_Credito_Detalhado[Mês/Ano],OFFSET(J$4,0,-12)),
SUMIFS(tb_Cartao_Credito_Detalhado[[Mês 14]:[Mês 14]],tb_Cartao_Credito_Detalhado[Mês/Ano],OFFSET(J$4,0,-13)),
SUMIFS(tb_Cartao_Credito_Detalhado[[Mês 15]:[Mês 15]],tb_Cartao_Credito_Detalhado[Mês/Ano],OFFSET(J$4,0,-14)),
SUMIFS(tb_Cartao_Credito_Detalhado[[Mês 16]:[Mês 16]],tb_Cartao_Credito_Detalhado[Mês/Ano],OFFSET(J$4,0,-15)),
SUMIFS(tb_Cartao_Credito_Detalhado[[Mês 17]:[Mês 17]],tb_Cartao_Credito_Detalhado[Mês/Ano],OFFSET(J$4,0,-16)),
SUMIFS(tb_Cartao_Credito_Detalhado[[Mês 18]:[Mês 18]],tb_Cartao_Credito_Detalhado[Mês/Ano],OFFSET(J$4,0,-17)),
SUMIFS(tb_Cartao_Credito_Detalhado[[Mês 19]:[Mês 19]],tb_Cartao_Credito_Detalhado[Mês/Ano],OFFSET(J$4,0,-18)),
SUMIFS(tb_Cartao_Credito_Detalhado[[Mês 20]:[Mês 20]],tb_Cartao_Credito_Detalhado[Mês/Ano],OFFSET(J$4,0,-19)),
SUMIFS(tb_Cartao_Credito_Detalhado[[Mês 21]:[Mês 21]],tb_Cartao_Credito_Detalhado[Mês/Ano],OFFSET(J$4,0,-20)),
SUMIFS(tb_Cartao_Credito_Detalhado[[Mês 22]:[Mês 22]],tb_Cartao_Credito_Detalhado[Mês/Ano],OFFSET(J$4,0,-21)),
SUMIFS(tb_Cartao_Credito_Detalhado[[Mês 23]:[Mês 23]],tb_Cartao_Credito_Detalhado[Mês/Ano],OFFSET(J$4,0,-22)),
SUMIFS(tb_Cartao_Credito_Detalhado[[Mês 24]:[Mês 24]],tb_Cartao_Credito_Detalhado[Mês/Ano],OFFSET(J$4,0,-23)),
SUMIFS(tb_Cartao_Credito_Detalhado[[Mês 25]:[Mês 25]],tb_Cartao_Credito_Detalhado[Mês/Ano],OFFSET(J$4,0,-24)),
SUMIFS(tb_Cartao_Credito_Detalhado[[Mês 26]:[Mês 26]],tb_Cartao_Credito_Detalhado[Mês/Ano],OFFSET(J$4,0,-25)),
SUMIFS(tb_Cartao_Credito_Detalhado[[Mês 27]:[Mês 27]],tb_Cartao_Credito_Detalhado[Mês/Ano],OFFSET(J$4,0,-26)),
SUMIFS(tb_Cartao_Credito_Detalhado[[Mês 28]:[Mês 28]],tb_Cartao_Credito_Detalhado[Mês/Ano],OFFSET(J$4,0,-27)),
SUMIFS(tb_Cartao_Credito_Detalhado[[Mês 29]:[Mês 29]],tb_Cartao_Credito_Detalhado[Mês/Ano],OFFSET(J$4,0,-28)),
SUMIFS(tb_Cartao_Credito_Detalhado[[Mês 30]:[Mês 30]],tb_Cartao_Credito_Detalhado[Mês/Ano],OFFSET(J$4,0,-29)),
SUMIFS(tb_Cartao_Credito_Detalhado[[Mês 31]:[Mês 31]],tb_Cartao_Credito_Detalhado[Mês/Ano],OFFSET(J$4,0,-30)),
SUMIFS(tb_Cartao_Credito_Detalhado[[Mês 32]:[Mês 32]],tb_Cartao_Credito_Detalhado[Mês/Ano],OFFSET(J$4,0,-31)),
SUMIFS(tb_Cartao_Credito_Detalhado[[Mês 33]:[Mês 33]],tb_Cartao_Credito_Detalhado[Mês/Ano],OFFSET(J$4,0,-32)),
SUMIFS(tb_Cartao_Credito_Detalhado[[Mês 34]:[Mês 34]],tb_Cartao_Credito_Detalhado[Mês/Ano],OFFSET(J$4,0,-33)),
SUMIFS(tb_Cartao_Credito_Detalhado[[Mês 35]:[Mês 35]],tb_Cartao_Credito_Detalhado[Mês/Ano],OFFSET(J$4,0,-34)),
SUMIFS(tb_Cartao_Credito_Detalhado[[Mês 36]:[Mês 36]],tb_Cartao_Credito_Detalhado[Mês/Ano],OFFSET(J$4,0,-35)),
SUMIFS(tb_Cartao_Credito_Detalhado[[Mês 37]:[Mês 37]],tb_Cartao_Credito_Detalhado[Mês/Ano],OFFSET(J$4,0,-36)),
SUMIFS(tb_Cartao_Credito_Detalhado[[Mês 38]:[Mês 38]],tb_Cartao_Credito_Detalhado[Mês/Ano],OFFSET(J$4,0,-37)),
SUMIFS(tb_Cartao_Credito_Detalhado[[Mês 39]:[Mês 39]],tb_Cartao_Credito_Detalhado[Mês/Ano],OFFSET(J$4,0,-38)),
SUMIFS(tb_Cartao_Credito_Detalhado[[Mês 40]:[Mês 40]],tb_Cartao_Credito_Detalhado[Mês/Ano],OFFSET(J$4,0,-39)),
SUMIFS(tb_Cartao_Credito_Detalhado[[Mês 41]:[Mês 41]],tb_Cartao_Credito_Detalhado[Mês/Ano],OFFSET(J$4,0,-40)),
SUMIFS(tb_Cartao_Credito_Detalhado[[Mês 42]:[Mês 42]],tb_Cartao_Credito_Detalhado[Mês/Ano],OFFSET(J$4,0,-41)),
SUMIFS(tb_Cartao_Credito_Detalhado[[Mês 43]:[Mês 43]],tb_Cartao_Credito_Detalhado[Mês/Ano],OFFSET(J$4,0,-42)),
SUMIFS(tb_Cartao_Credito_Detalhado[[Mês 44]:[Mês 44]],tb_Cartao_Credito_Detalhado[Mês/Ano],OFFSET(J$4,0,-43)),
SUMIFS(tb_Cartao_Credito_Detalhado[[Mês 45]:[Mês 45]],tb_Cartao_Credito_Detalhado[Mês/Ano],OFFSET(J$4,0,-44)),
)</f>
        <v>136.09</v>
      </c>
      <c r="K5" s="28">
        <f ca="1">SUM(
SUMIFS(tb_Cartao_Credito_Detalhado[[Mês 1]:[Mês 1]],tb_Cartao_Credito_Detalhado[Mês/Ano],K$4),
SUMIFS(tb_Cartao_Credito_Detalhado[[Mês 2]:[Mês 2]],tb_Cartao_Credito_Detalhado[Mês/Ano],OFFSET(K$4,0,-1)),
SUMIFS(tb_Cartao_Credito_Detalhado[[Mês 3]:[Mês 3]],tb_Cartao_Credito_Detalhado[Mês/Ano],OFFSET(K$4,0,-2)),
SUMIFS(tb_Cartao_Credito_Detalhado[[Mês 4]:[Mês 4]],tb_Cartao_Credito_Detalhado[Mês/Ano],OFFSET(K$4,0,-3)),
SUMIFS(tb_Cartao_Credito_Detalhado[[Mês 5]:[Mês 5]],tb_Cartao_Credito_Detalhado[Mês/Ano],OFFSET(K$4,0,-4)),
SUMIFS(tb_Cartao_Credito_Detalhado[[Mês 6]:[Mês 6]],tb_Cartao_Credito_Detalhado[Mês/Ano],OFFSET(K$4,0,-5)),
SUMIFS(tb_Cartao_Credito_Detalhado[[Mês 7]:[Mês 7]],tb_Cartao_Credito_Detalhado[Mês/Ano],OFFSET(K$4,0,-6)),
SUMIFS(tb_Cartao_Credito_Detalhado[[Mês 8]:[Mês 8]],tb_Cartao_Credito_Detalhado[Mês/Ano],OFFSET(K$4,0,-7)),
SUMIFS(tb_Cartao_Credito_Detalhado[[Mês 9]:[Mês 9]],tb_Cartao_Credito_Detalhado[Mês/Ano],OFFSET(K$4,0,-8)),
SUMIFS(tb_Cartao_Credito_Detalhado[[Mês 10]:[Mês 10]],tb_Cartao_Credito_Detalhado[Mês/Ano],OFFSET(K$4,0,-9)),
SUMIFS(tb_Cartao_Credito_Detalhado[[Mês 11]:[Mês 11]],tb_Cartao_Credito_Detalhado[Mês/Ano],OFFSET(K$4,0,-10)),
SUMIFS(tb_Cartao_Credito_Detalhado[[Mês 12]:[Mês 12]],tb_Cartao_Credito_Detalhado[Mês/Ano],OFFSET(K$4,0,-11)),
SUMIFS(tb_Cartao_Credito_Detalhado[[Mês 13]:[Mês 13]],tb_Cartao_Credito_Detalhado[Mês/Ano],OFFSET(K$4,0,-12)),
SUMIFS(tb_Cartao_Credito_Detalhado[[Mês 14]:[Mês 14]],tb_Cartao_Credito_Detalhado[Mês/Ano],OFFSET(K$4,0,-13)),
SUMIFS(tb_Cartao_Credito_Detalhado[[Mês 15]:[Mês 15]],tb_Cartao_Credito_Detalhado[Mês/Ano],OFFSET(K$4,0,-14)),
SUMIFS(tb_Cartao_Credito_Detalhado[[Mês 16]:[Mês 16]],tb_Cartao_Credito_Detalhado[Mês/Ano],OFFSET(K$4,0,-15)),
SUMIFS(tb_Cartao_Credito_Detalhado[[Mês 17]:[Mês 17]],tb_Cartao_Credito_Detalhado[Mês/Ano],OFFSET(K$4,0,-16)),
SUMIFS(tb_Cartao_Credito_Detalhado[[Mês 18]:[Mês 18]],tb_Cartao_Credito_Detalhado[Mês/Ano],OFFSET(K$4,0,-17)),
SUMIFS(tb_Cartao_Credito_Detalhado[[Mês 19]:[Mês 19]],tb_Cartao_Credito_Detalhado[Mês/Ano],OFFSET(K$4,0,-18)),
SUMIFS(tb_Cartao_Credito_Detalhado[[Mês 20]:[Mês 20]],tb_Cartao_Credito_Detalhado[Mês/Ano],OFFSET(K$4,0,-19)),
SUMIFS(tb_Cartao_Credito_Detalhado[[Mês 21]:[Mês 21]],tb_Cartao_Credito_Detalhado[Mês/Ano],OFFSET(K$4,0,-20)),
SUMIFS(tb_Cartao_Credito_Detalhado[[Mês 22]:[Mês 22]],tb_Cartao_Credito_Detalhado[Mês/Ano],OFFSET(K$4,0,-21)),
SUMIFS(tb_Cartao_Credito_Detalhado[[Mês 23]:[Mês 23]],tb_Cartao_Credito_Detalhado[Mês/Ano],OFFSET(K$4,0,-22)),
SUMIFS(tb_Cartao_Credito_Detalhado[[Mês 24]:[Mês 24]],tb_Cartao_Credito_Detalhado[Mês/Ano],OFFSET(K$4,0,-23)),
SUMIFS(tb_Cartao_Credito_Detalhado[[Mês 25]:[Mês 25]],tb_Cartao_Credito_Detalhado[Mês/Ano],OFFSET(K$4,0,-24)),
SUMIFS(tb_Cartao_Credito_Detalhado[[Mês 26]:[Mês 26]],tb_Cartao_Credito_Detalhado[Mês/Ano],OFFSET(K$4,0,-25)),
SUMIFS(tb_Cartao_Credito_Detalhado[[Mês 27]:[Mês 27]],tb_Cartao_Credito_Detalhado[Mês/Ano],OFFSET(K$4,0,-26)),
SUMIFS(tb_Cartao_Credito_Detalhado[[Mês 28]:[Mês 28]],tb_Cartao_Credito_Detalhado[Mês/Ano],OFFSET(K$4,0,-27)),
SUMIFS(tb_Cartao_Credito_Detalhado[[Mês 29]:[Mês 29]],tb_Cartao_Credito_Detalhado[Mês/Ano],OFFSET(K$4,0,-28)),
SUMIFS(tb_Cartao_Credito_Detalhado[[Mês 30]:[Mês 30]],tb_Cartao_Credito_Detalhado[Mês/Ano],OFFSET(K$4,0,-29)),
SUMIFS(tb_Cartao_Credito_Detalhado[[Mês 31]:[Mês 31]],tb_Cartao_Credito_Detalhado[Mês/Ano],OFFSET(K$4,0,-30)),
SUMIFS(tb_Cartao_Credito_Detalhado[[Mês 32]:[Mês 32]],tb_Cartao_Credito_Detalhado[Mês/Ano],OFFSET(K$4,0,-31)),
SUMIFS(tb_Cartao_Credito_Detalhado[[Mês 33]:[Mês 33]],tb_Cartao_Credito_Detalhado[Mês/Ano],OFFSET(K$4,0,-32)),
SUMIFS(tb_Cartao_Credito_Detalhado[[Mês 34]:[Mês 34]],tb_Cartao_Credito_Detalhado[Mês/Ano],OFFSET(K$4,0,-33)),
SUMIFS(tb_Cartao_Credito_Detalhado[[Mês 35]:[Mês 35]],tb_Cartao_Credito_Detalhado[Mês/Ano],OFFSET(K$4,0,-34)),
SUMIFS(tb_Cartao_Credito_Detalhado[[Mês 36]:[Mês 36]],tb_Cartao_Credito_Detalhado[Mês/Ano],OFFSET(K$4,0,-35)),
SUMIFS(tb_Cartao_Credito_Detalhado[[Mês 37]:[Mês 37]],tb_Cartao_Credito_Detalhado[Mês/Ano],OFFSET(K$4,0,-36)),
SUMIFS(tb_Cartao_Credito_Detalhado[[Mês 38]:[Mês 38]],tb_Cartao_Credito_Detalhado[Mês/Ano],OFFSET(K$4,0,-37)),
SUMIFS(tb_Cartao_Credito_Detalhado[[Mês 39]:[Mês 39]],tb_Cartao_Credito_Detalhado[Mês/Ano],OFFSET(K$4,0,-38)),
SUMIFS(tb_Cartao_Credito_Detalhado[[Mês 40]:[Mês 40]],tb_Cartao_Credito_Detalhado[Mês/Ano],OFFSET(K$4,0,-39)),
SUMIFS(tb_Cartao_Credito_Detalhado[[Mês 41]:[Mês 41]],tb_Cartao_Credito_Detalhado[Mês/Ano],OFFSET(K$4,0,-40)),
SUMIFS(tb_Cartao_Credito_Detalhado[[Mês 42]:[Mês 42]],tb_Cartao_Credito_Detalhado[Mês/Ano],OFFSET(K$4,0,-41)),
SUMIFS(tb_Cartao_Credito_Detalhado[[Mês 43]:[Mês 43]],tb_Cartao_Credito_Detalhado[Mês/Ano],OFFSET(K$4,0,-42)),
SUMIFS(tb_Cartao_Credito_Detalhado[[Mês 44]:[Mês 44]],tb_Cartao_Credito_Detalhado[Mês/Ano],OFFSET(K$4,0,-43)),
SUMIFS(tb_Cartao_Credito_Detalhado[[Mês 45]:[Mês 45]],tb_Cartao_Credito_Detalhado[Mês/Ano],OFFSET(K$4,0,-44)),
)</f>
        <v>36</v>
      </c>
      <c r="L5" s="28">
        <f ca="1">SUM(
SUMIFS(tb_Cartao_Credito_Detalhado[[Mês 1]:[Mês 1]],tb_Cartao_Credito_Detalhado[Mês/Ano],L$4),
SUMIFS(tb_Cartao_Credito_Detalhado[[Mês 2]:[Mês 2]],tb_Cartao_Credito_Detalhado[Mês/Ano],OFFSET(L$4,0,-1)),
SUMIFS(tb_Cartao_Credito_Detalhado[[Mês 3]:[Mês 3]],tb_Cartao_Credito_Detalhado[Mês/Ano],OFFSET(L$4,0,-2)),
SUMIFS(tb_Cartao_Credito_Detalhado[[Mês 4]:[Mês 4]],tb_Cartao_Credito_Detalhado[Mês/Ano],OFFSET(L$4,0,-3)),
SUMIFS(tb_Cartao_Credito_Detalhado[[Mês 5]:[Mês 5]],tb_Cartao_Credito_Detalhado[Mês/Ano],OFFSET(L$4,0,-4)),
SUMIFS(tb_Cartao_Credito_Detalhado[[Mês 6]:[Mês 6]],tb_Cartao_Credito_Detalhado[Mês/Ano],OFFSET(L$4,0,-5)),
SUMIFS(tb_Cartao_Credito_Detalhado[[Mês 7]:[Mês 7]],tb_Cartao_Credito_Detalhado[Mês/Ano],OFFSET(L$4,0,-6)),
SUMIFS(tb_Cartao_Credito_Detalhado[[Mês 8]:[Mês 8]],tb_Cartao_Credito_Detalhado[Mês/Ano],OFFSET(L$4,0,-7)),
SUMIFS(tb_Cartao_Credito_Detalhado[[Mês 9]:[Mês 9]],tb_Cartao_Credito_Detalhado[Mês/Ano],OFFSET(L$4,0,-8)),
SUMIFS(tb_Cartao_Credito_Detalhado[[Mês 10]:[Mês 10]],tb_Cartao_Credito_Detalhado[Mês/Ano],OFFSET(L$4,0,-9)),
SUMIFS(tb_Cartao_Credito_Detalhado[[Mês 11]:[Mês 11]],tb_Cartao_Credito_Detalhado[Mês/Ano],OFFSET(L$4,0,-10)),
SUMIFS(tb_Cartao_Credito_Detalhado[[Mês 12]:[Mês 12]],tb_Cartao_Credito_Detalhado[Mês/Ano],OFFSET(L$4,0,-11)),
SUMIFS(tb_Cartao_Credito_Detalhado[[Mês 13]:[Mês 13]],tb_Cartao_Credito_Detalhado[Mês/Ano],OFFSET(L$4,0,-12)),
SUMIFS(tb_Cartao_Credito_Detalhado[[Mês 14]:[Mês 14]],tb_Cartao_Credito_Detalhado[Mês/Ano],OFFSET(L$4,0,-13)),
SUMIFS(tb_Cartao_Credito_Detalhado[[Mês 15]:[Mês 15]],tb_Cartao_Credito_Detalhado[Mês/Ano],OFFSET(L$4,0,-14)),
SUMIFS(tb_Cartao_Credito_Detalhado[[Mês 16]:[Mês 16]],tb_Cartao_Credito_Detalhado[Mês/Ano],OFFSET(L$4,0,-15)),
SUMIFS(tb_Cartao_Credito_Detalhado[[Mês 17]:[Mês 17]],tb_Cartao_Credito_Detalhado[Mês/Ano],OFFSET(L$4,0,-16)),
SUMIFS(tb_Cartao_Credito_Detalhado[[Mês 18]:[Mês 18]],tb_Cartao_Credito_Detalhado[Mês/Ano],OFFSET(L$4,0,-17)),
SUMIFS(tb_Cartao_Credito_Detalhado[[Mês 19]:[Mês 19]],tb_Cartao_Credito_Detalhado[Mês/Ano],OFFSET(L$4,0,-18)),
SUMIFS(tb_Cartao_Credito_Detalhado[[Mês 20]:[Mês 20]],tb_Cartao_Credito_Detalhado[Mês/Ano],OFFSET(L$4,0,-19)),
SUMIFS(tb_Cartao_Credito_Detalhado[[Mês 21]:[Mês 21]],tb_Cartao_Credito_Detalhado[Mês/Ano],OFFSET(L$4,0,-20)),
SUMIFS(tb_Cartao_Credito_Detalhado[[Mês 22]:[Mês 22]],tb_Cartao_Credito_Detalhado[Mês/Ano],OFFSET(L$4,0,-21)),
SUMIFS(tb_Cartao_Credito_Detalhado[[Mês 23]:[Mês 23]],tb_Cartao_Credito_Detalhado[Mês/Ano],OFFSET(L$4,0,-22)),
SUMIFS(tb_Cartao_Credito_Detalhado[[Mês 24]:[Mês 24]],tb_Cartao_Credito_Detalhado[Mês/Ano],OFFSET(L$4,0,-23)),
SUMIFS(tb_Cartao_Credito_Detalhado[[Mês 25]:[Mês 25]],tb_Cartao_Credito_Detalhado[Mês/Ano],OFFSET(L$4,0,-24)),
SUMIFS(tb_Cartao_Credito_Detalhado[[Mês 26]:[Mês 26]],tb_Cartao_Credito_Detalhado[Mês/Ano],OFFSET(L$4,0,-25)),
SUMIFS(tb_Cartao_Credito_Detalhado[[Mês 27]:[Mês 27]],tb_Cartao_Credito_Detalhado[Mês/Ano],OFFSET(L$4,0,-26)),
SUMIFS(tb_Cartao_Credito_Detalhado[[Mês 28]:[Mês 28]],tb_Cartao_Credito_Detalhado[Mês/Ano],OFFSET(L$4,0,-27)),
SUMIFS(tb_Cartao_Credito_Detalhado[[Mês 29]:[Mês 29]],tb_Cartao_Credito_Detalhado[Mês/Ano],OFFSET(L$4,0,-28)),
SUMIFS(tb_Cartao_Credito_Detalhado[[Mês 30]:[Mês 30]],tb_Cartao_Credito_Detalhado[Mês/Ano],OFFSET(L$4,0,-29)),
SUMIFS(tb_Cartao_Credito_Detalhado[[Mês 31]:[Mês 31]],tb_Cartao_Credito_Detalhado[Mês/Ano],OFFSET(L$4,0,-30)),
SUMIFS(tb_Cartao_Credito_Detalhado[[Mês 32]:[Mês 32]],tb_Cartao_Credito_Detalhado[Mês/Ano],OFFSET(L$4,0,-31)),
SUMIFS(tb_Cartao_Credito_Detalhado[[Mês 33]:[Mês 33]],tb_Cartao_Credito_Detalhado[Mês/Ano],OFFSET(L$4,0,-32)),
SUMIFS(tb_Cartao_Credito_Detalhado[[Mês 34]:[Mês 34]],tb_Cartao_Credito_Detalhado[Mês/Ano],OFFSET(L$4,0,-33)),
SUMIFS(tb_Cartao_Credito_Detalhado[[Mês 35]:[Mês 35]],tb_Cartao_Credito_Detalhado[Mês/Ano],OFFSET(L$4,0,-34)),
SUMIFS(tb_Cartao_Credito_Detalhado[[Mês 36]:[Mês 36]],tb_Cartao_Credito_Detalhado[Mês/Ano],OFFSET(L$4,0,-35)),
SUMIFS(tb_Cartao_Credito_Detalhado[[Mês 37]:[Mês 37]],tb_Cartao_Credito_Detalhado[Mês/Ano],OFFSET(L$4,0,-36)),
SUMIFS(tb_Cartao_Credito_Detalhado[[Mês 38]:[Mês 38]],tb_Cartao_Credito_Detalhado[Mês/Ano],OFFSET(L$4,0,-37)),
SUMIFS(tb_Cartao_Credito_Detalhado[[Mês 39]:[Mês 39]],tb_Cartao_Credito_Detalhado[Mês/Ano],OFFSET(L$4,0,-38)),
SUMIFS(tb_Cartao_Credito_Detalhado[[Mês 40]:[Mês 40]],tb_Cartao_Credito_Detalhado[Mês/Ano],OFFSET(L$4,0,-39)),
SUMIFS(tb_Cartao_Credito_Detalhado[[Mês 41]:[Mês 41]],tb_Cartao_Credito_Detalhado[Mês/Ano],OFFSET(L$4,0,-40)),
SUMIFS(tb_Cartao_Credito_Detalhado[[Mês 42]:[Mês 42]],tb_Cartao_Credito_Detalhado[Mês/Ano],OFFSET(L$4,0,-41)),
SUMIFS(tb_Cartao_Credito_Detalhado[[Mês 43]:[Mês 43]],tb_Cartao_Credito_Detalhado[Mês/Ano],OFFSET(L$4,0,-42)),
SUMIFS(tb_Cartao_Credito_Detalhado[[Mês 44]:[Mês 44]],tb_Cartao_Credito_Detalhado[Mês/Ano],OFFSET(L$4,0,-43)),
SUMIFS(tb_Cartao_Credito_Detalhado[[Mês 45]:[Mês 45]],tb_Cartao_Credito_Detalhado[Mês/Ano],OFFSET(L$4,0,-44)),
)</f>
        <v>0</v>
      </c>
      <c r="M5" s="28">
        <f ca="1">SUM(
SUMIFS(tb_Cartao_Credito_Detalhado[[Mês 1]:[Mês 1]],tb_Cartao_Credito_Detalhado[Mês/Ano],M$4),
SUMIFS(tb_Cartao_Credito_Detalhado[[Mês 2]:[Mês 2]],tb_Cartao_Credito_Detalhado[Mês/Ano],OFFSET(M$4,0,-1)),
SUMIFS(tb_Cartao_Credito_Detalhado[[Mês 3]:[Mês 3]],tb_Cartao_Credito_Detalhado[Mês/Ano],OFFSET(M$4,0,-2)),
SUMIFS(tb_Cartao_Credito_Detalhado[[Mês 4]:[Mês 4]],tb_Cartao_Credito_Detalhado[Mês/Ano],OFFSET(M$4,0,-3)),
SUMIFS(tb_Cartao_Credito_Detalhado[[Mês 5]:[Mês 5]],tb_Cartao_Credito_Detalhado[Mês/Ano],OFFSET(M$4,0,-4)),
SUMIFS(tb_Cartao_Credito_Detalhado[[Mês 6]:[Mês 6]],tb_Cartao_Credito_Detalhado[Mês/Ano],OFFSET(M$4,0,-5)),
SUMIFS(tb_Cartao_Credito_Detalhado[[Mês 7]:[Mês 7]],tb_Cartao_Credito_Detalhado[Mês/Ano],OFFSET(M$4,0,-6)),
SUMIFS(tb_Cartao_Credito_Detalhado[[Mês 8]:[Mês 8]],tb_Cartao_Credito_Detalhado[Mês/Ano],OFFSET(M$4,0,-7)),
SUMIFS(tb_Cartao_Credito_Detalhado[[Mês 9]:[Mês 9]],tb_Cartao_Credito_Detalhado[Mês/Ano],OFFSET(M$4,0,-8)),
SUMIFS(tb_Cartao_Credito_Detalhado[[Mês 10]:[Mês 10]],tb_Cartao_Credito_Detalhado[Mês/Ano],OFFSET(M$4,0,-9)),
SUMIFS(tb_Cartao_Credito_Detalhado[[Mês 11]:[Mês 11]],tb_Cartao_Credito_Detalhado[Mês/Ano],OFFSET(M$4,0,-10)),
SUMIFS(tb_Cartao_Credito_Detalhado[[Mês 12]:[Mês 12]],tb_Cartao_Credito_Detalhado[Mês/Ano],OFFSET(M$4,0,-11)),
SUMIFS(tb_Cartao_Credito_Detalhado[[Mês 13]:[Mês 13]],tb_Cartao_Credito_Detalhado[Mês/Ano],OFFSET(M$4,0,-12)),
SUMIFS(tb_Cartao_Credito_Detalhado[[Mês 14]:[Mês 14]],tb_Cartao_Credito_Detalhado[Mês/Ano],OFFSET(M$4,0,-13)),
SUMIFS(tb_Cartao_Credito_Detalhado[[Mês 15]:[Mês 15]],tb_Cartao_Credito_Detalhado[Mês/Ano],OFFSET(M$4,0,-14)),
SUMIFS(tb_Cartao_Credito_Detalhado[[Mês 16]:[Mês 16]],tb_Cartao_Credito_Detalhado[Mês/Ano],OFFSET(M$4,0,-15)),
SUMIFS(tb_Cartao_Credito_Detalhado[[Mês 17]:[Mês 17]],tb_Cartao_Credito_Detalhado[Mês/Ano],OFFSET(M$4,0,-16)),
SUMIFS(tb_Cartao_Credito_Detalhado[[Mês 18]:[Mês 18]],tb_Cartao_Credito_Detalhado[Mês/Ano],OFFSET(M$4,0,-17)),
SUMIFS(tb_Cartao_Credito_Detalhado[[Mês 19]:[Mês 19]],tb_Cartao_Credito_Detalhado[Mês/Ano],OFFSET(M$4,0,-18)),
SUMIFS(tb_Cartao_Credito_Detalhado[[Mês 20]:[Mês 20]],tb_Cartao_Credito_Detalhado[Mês/Ano],OFFSET(M$4,0,-19)),
SUMIFS(tb_Cartao_Credito_Detalhado[[Mês 21]:[Mês 21]],tb_Cartao_Credito_Detalhado[Mês/Ano],OFFSET(M$4,0,-20)),
SUMIFS(tb_Cartao_Credito_Detalhado[[Mês 22]:[Mês 22]],tb_Cartao_Credito_Detalhado[Mês/Ano],OFFSET(M$4,0,-21)),
SUMIFS(tb_Cartao_Credito_Detalhado[[Mês 23]:[Mês 23]],tb_Cartao_Credito_Detalhado[Mês/Ano],OFFSET(M$4,0,-22)),
SUMIFS(tb_Cartao_Credito_Detalhado[[Mês 24]:[Mês 24]],tb_Cartao_Credito_Detalhado[Mês/Ano],OFFSET(M$4,0,-23)),
SUMIFS(tb_Cartao_Credito_Detalhado[[Mês 25]:[Mês 25]],tb_Cartao_Credito_Detalhado[Mês/Ano],OFFSET(M$4,0,-24)),
SUMIFS(tb_Cartao_Credito_Detalhado[[Mês 26]:[Mês 26]],tb_Cartao_Credito_Detalhado[Mês/Ano],OFFSET(M$4,0,-25)),
SUMIFS(tb_Cartao_Credito_Detalhado[[Mês 27]:[Mês 27]],tb_Cartao_Credito_Detalhado[Mês/Ano],OFFSET(M$4,0,-26)),
SUMIFS(tb_Cartao_Credito_Detalhado[[Mês 28]:[Mês 28]],tb_Cartao_Credito_Detalhado[Mês/Ano],OFFSET(M$4,0,-27)),
SUMIFS(tb_Cartao_Credito_Detalhado[[Mês 29]:[Mês 29]],tb_Cartao_Credito_Detalhado[Mês/Ano],OFFSET(M$4,0,-28)),
SUMIFS(tb_Cartao_Credito_Detalhado[[Mês 30]:[Mês 30]],tb_Cartao_Credito_Detalhado[Mês/Ano],OFFSET(M$4,0,-29)),
SUMIFS(tb_Cartao_Credito_Detalhado[[Mês 31]:[Mês 31]],tb_Cartao_Credito_Detalhado[Mês/Ano],OFFSET(M$4,0,-30)),
SUMIFS(tb_Cartao_Credito_Detalhado[[Mês 32]:[Mês 32]],tb_Cartao_Credito_Detalhado[Mês/Ano],OFFSET(M$4,0,-31)),
SUMIFS(tb_Cartao_Credito_Detalhado[[Mês 33]:[Mês 33]],tb_Cartao_Credito_Detalhado[Mês/Ano],OFFSET(M$4,0,-32)),
SUMIFS(tb_Cartao_Credito_Detalhado[[Mês 34]:[Mês 34]],tb_Cartao_Credito_Detalhado[Mês/Ano],OFFSET(M$4,0,-33)),
SUMIFS(tb_Cartao_Credito_Detalhado[[Mês 35]:[Mês 35]],tb_Cartao_Credito_Detalhado[Mês/Ano],OFFSET(M$4,0,-34)),
SUMIFS(tb_Cartao_Credito_Detalhado[[Mês 36]:[Mês 36]],tb_Cartao_Credito_Detalhado[Mês/Ano],OFFSET(M$4,0,-35)),
SUMIFS(tb_Cartao_Credito_Detalhado[[Mês 37]:[Mês 37]],tb_Cartao_Credito_Detalhado[Mês/Ano],OFFSET(M$4,0,-36)),
SUMIFS(tb_Cartao_Credito_Detalhado[[Mês 38]:[Mês 38]],tb_Cartao_Credito_Detalhado[Mês/Ano],OFFSET(M$4,0,-37)),
SUMIFS(tb_Cartao_Credito_Detalhado[[Mês 39]:[Mês 39]],tb_Cartao_Credito_Detalhado[Mês/Ano],OFFSET(M$4,0,-38)),
SUMIFS(tb_Cartao_Credito_Detalhado[[Mês 40]:[Mês 40]],tb_Cartao_Credito_Detalhado[Mês/Ano],OFFSET(M$4,0,-39)),
SUMIFS(tb_Cartao_Credito_Detalhado[[Mês 41]:[Mês 41]],tb_Cartao_Credito_Detalhado[Mês/Ano],OFFSET(M$4,0,-40)),
SUMIFS(tb_Cartao_Credito_Detalhado[[Mês 42]:[Mês 42]],tb_Cartao_Credito_Detalhado[Mês/Ano],OFFSET(M$4,0,-41)),
SUMIFS(tb_Cartao_Credito_Detalhado[[Mês 43]:[Mês 43]],tb_Cartao_Credito_Detalhado[Mês/Ano],OFFSET(M$4,0,-42)),
SUMIFS(tb_Cartao_Credito_Detalhado[[Mês 44]:[Mês 44]],tb_Cartao_Credito_Detalhado[Mês/Ano],OFFSET(M$4,0,-43)),
SUMIFS(tb_Cartao_Credito_Detalhado[[Mês 45]:[Mês 45]],tb_Cartao_Credito_Detalhado[Mês/Ano],OFFSET(M$4,0,-44)),
)</f>
        <v>0</v>
      </c>
      <c r="N5" s="28">
        <f ca="1">SUM(
SUMIFS(tb_Cartao_Credito_Detalhado[[Mês 1]:[Mês 1]],tb_Cartao_Credito_Detalhado[Mês/Ano],N$4),
SUMIFS(tb_Cartao_Credito_Detalhado[[Mês 2]:[Mês 2]],tb_Cartao_Credito_Detalhado[Mês/Ano],OFFSET(N$4,0,-1)),
SUMIFS(tb_Cartao_Credito_Detalhado[[Mês 3]:[Mês 3]],tb_Cartao_Credito_Detalhado[Mês/Ano],OFFSET(N$4,0,-2)),
SUMIFS(tb_Cartao_Credito_Detalhado[[Mês 4]:[Mês 4]],tb_Cartao_Credito_Detalhado[Mês/Ano],OFFSET(N$4,0,-3)),
SUMIFS(tb_Cartao_Credito_Detalhado[[Mês 5]:[Mês 5]],tb_Cartao_Credito_Detalhado[Mês/Ano],OFFSET(N$4,0,-4)),
SUMIFS(tb_Cartao_Credito_Detalhado[[Mês 6]:[Mês 6]],tb_Cartao_Credito_Detalhado[Mês/Ano],OFFSET(N$4,0,-5)),
SUMIFS(tb_Cartao_Credito_Detalhado[[Mês 7]:[Mês 7]],tb_Cartao_Credito_Detalhado[Mês/Ano],OFFSET(N$4,0,-6)),
SUMIFS(tb_Cartao_Credito_Detalhado[[Mês 8]:[Mês 8]],tb_Cartao_Credito_Detalhado[Mês/Ano],OFFSET(N$4,0,-7)),
SUMIFS(tb_Cartao_Credito_Detalhado[[Mês 9]:[Mês 9]],tb_Cartao_Credito_Detalhado[Mês/Ano],OFFSET(N$4,0,-8)),
SUMIFS(tb_Cartao_Credito_Detalhado[[Mês 10]:[Mês 10]],tb_Cartao_Credito_Detalhado[Mês/Ano],OFFSET(N$4,0,-9)),
SUMIFS(tb_Cartao_Credito_Detalhado[[Mês 11]:[Mês 11]],tb_Cartao_Credito_Detalhado[Mês/Ano],OFFSET(N$4,0,-10)),
SUMIFS(tb_Cartao_Credito_Detalhado[[Mês 12]:[Mês 12]],tb_Cartao_Credito_Detalhado[Mês/Ano],OFFSET(N$4,0,-11)),
SUMIFS(tb_Cartao_Credito_Detalhado[[Mês 13]:[Mês 13]],tb_Cartao_Credito_Detalhado[Mês/Ano],OFFSET(N$4,0,-12)),
SUMIFS(tb_Cartao_Credito_Detalhado[[Mês 14]:[Mês 14]],tb_Cartao_Credito_Detalhado[Mês/Ano],OFFSET(N$4,0,-13)),
SUMIFS(tb_Cartao_Credito_Detalhado[[Mês 15]:[Mês 15]],tb_Cartao_Credito_Detalhado[Mês/Ano],OFFSET(N$4,0,-14)),
SUMIFS(tb_Cartao_Credito_Detalhado[[Mês 16]:[Mês 16]],tb_Cartao_Credito_Detalhado[Mês/Ano],OFFSET(N$4,0,-15)),
SUMIFS(tb_Cartao_Credito_Detalhado[[Mês 17]:[Mês 17]],tb_Cartao_Credito_Detalhado[Mês/Ano],OFFSET(N$4,0,-16)),
SUMIFS(tb_Cartao_Credito_Detalhado[[Mês 18]:[Mês 18]],tb_Cartao_Credito_Detalhado[Mês/Ano],OFFSET(N$4,0,-17)),
SUMIFS(tb_Cartao_Credito_Detalhado[[Mês 19]:[Mês 19]],tb_Cartao_Credito_Detalhado[Mês/Ano],OFFSET(N$4,0,-18)),
SUMIFS(tb_Cartao_Credito_Detalhado[[Mês 20]:[Mês 20]],tb_Cartao_Credito_Detalhado[Mês/Ano],OFFSET(N$4,0,-19)),
SUMIFS(tb_Cartao_Credito_Detalhado[[Mês 21]:[Mês 21]],tb_Cartao_Credito_Detalhado[Mês/Ano],OFFSET(N$4,0,-20)),
SUMIFS(tb_Cartao_Credito_Detalhado[[Mês 22]:[Mês 22]],tb_Cartao_Credito_Detalhado[Mês/Ano],OFFSET(N$4,0,-21)),
SUMIFS(tb_Cartao_Credito_Detalhado[[Mês 23]:[Mês 23]],tb_Cartao_Credito_Detalhado[Mês/Ano],OFFSET(N$4,0,-22)),
SUMIFS(tb_Cartao_Credito_Detalhado[[Mês 24]:[Mês 24]],tb_Cartao_Credito_Detalhado[Mês/Ano],OFFSET(N$4,0,-23)),
SUMIFS(tb_Cartao_Credito_Detalhado[[Mês 25]:[Mês 25]],tb_Cartao_Credito_Detalhado[Mês/Ano],OFFSET(N$4,0,-24)),
SUMIFS(tb_Cartao_Credito_Detalhado[[Mês 26]:[Mês 26]],tb_Cartao_Credito_Detalhado[Mês/Ano],OFFSET(N$4,0,-25)),
SUMIFS(tb_Cartao_Credito_Detalhado[[Mês 27]:[Mês 27]],tb_Cartao_Credito_Detalhado[Mês/Ano],OFFSET(N$4,0,-26)),
SUMIFS(tb_Cartao_Credito_Detalhado[[Mês 28]:[Mês 28]],tb_Cartao_Credito_Detalhado[Mês/Ano],OFFSET(N$4,0,-27)),
SUMIFS(tb_Cartao_Credito_Detalhado[[Mês 29]:[Mês 29]],tb_Cartao_Credito_Detalhado[Mês/Ano],OFFSET(N$4,0,-28)),
SUMIFS(tb_Cartao_Credito_Detalhado[[Mês 30]:[Mês 30]],tb_Cartao_Credito_Detalhado[Mês/Ano],OFFSET(N$4,0,-29)),
SUMIFS(tb_Cartao_Credito_Detalhado[[Mês 31]:[Mês 31]],tb_Cartao_Credito_Detalhado[Mês/Ano],OFFSET(N$4,0,-30)),
SUMIFS(tb_Cartao_Credito_Detalhado[[Mês 32]:[Mês 32]],tb_Cartao_Credito_Detalhado[Mês/Ano],OFFSET(N$4,0,-31)),
SUMIFS(tb_Cartao_Credito_Detalhado[[Mês 33]:[Mês 33]],tb_Cartao_Credito_Detalhado[Mês/Ano],OFFSET(N$4,0,-32)),
SUMIFS(tb_Cartao_Credito_Detalhado[[Mês 34]:[Mês 34]],tb_Cartao_Credito_Detalhado[Mês/Ano],OFFSET(N$4,0,-33)),
SUMIFS(tb_Cartao_Credito_Detalhado[[Mês 35]:[Mês 35]],tb_Cartao_Credito_Detalhado[Mês/Ano],OFFSET(N$4,0,-34)),
SUMIFS(tb_Cartao_Credito_Detalhado[[Mês 36]:[Mês 36]],tb_Cartao_Credito_Detalhado[Mês/Ano],OFFSET(N$4,0,-35)),
SUMIFS(tb_Cartao_Credito_Detalhado[[Mês 37]:[Mês 37]],tb_Cartao_Credito_Detalhado[Mês/Ano],OFFSET(N$4,0,-36)),
SUMIFS(tb_Cartao_Credito_Detalhado[[Mês 38]:[Mês 38]],tb_Cartao_Credito_Detalhado[Mês/Ano],OFFSET(N$4,0,-37)),
SUMIFS(tb_Cartao_Credito_Detalhado[[Mês 39]:[Mês 39]],tb_Cartao_Credito_Detalhado[Mês/Ano],OFFSET(N$4,0,-38)),
SUMIFS(tb_Cartao_Credito_Detalhado[[Mês 40]:[Mês 40]],tb_Cartao_Credito_Detalhado[Mês/Ano],OFFSET(N$4,0,-39)),
SUMIFS(tb_Cartao_Credito_Detalhado[[Mês 41]:[Mês 41]],tb_Cartao_Credito_Detalhado[Mês/Ano],OFFSET(N$4,0,-40)),
SUMIFS(tb_Cartao_Credito_Detalhado[[Mês 42]:[Mês 42]],tb_Cartao_Credito_Detalhado[Mês/Ano],OFFSET(N$4,0,-41)),
SUMIFS(tb_Cartao_Credito_Detalhado[[Mês 43]:[Mês 43]],tb_Cartao_Credito_Detalhado[Mês/Ano],OFFSET(N$4,0,-42)),
SUMIFS(tb_Cartao_Credito_Detalhado[[Mês 44]:[Mês 44]],tb_Cartao_Credito_Detalhado[Mês/Ano],OFFSET(N$4,0,-43)),
SUMIFS(tb_Cartao_Credito_Detalhado[[Mês 45]:[Mês 45]],tb_Cartao_Credito_Detalhado[Mês/Ano],OFFSET(N$4,0,-44)),
)</f>
        <v>0</v>
      </c>
      <c r="O5" s="28">
        <f ca="1">SUM(
SUMIFS(tb_Cartao_Credito_Detalhado[[Mês 1]:[Mês 1]],tb_Cartao_Credito_Detalhado[Mês/Ano],O$4),
SUMIFS(tb_Cartao_Credito_Detalhado[[Mês 2]:[Mês 2]],tb_Cartao_Credito_Detalhado[Mês/Ano],OFFSET(O$4,0,-1)),
SUMIFS(tb_Cartao_Credito_Detalhado[[Mês 3]:[Mês 3]],tb_Cartao_Credito_Detalhado[Mês/Ano],OFFSET(O$4,0,-2)),
SUMIFS(tb_Cartao_Credito_Detalhado[[Mês 4]:[Mês 4]],tb_Cartao_Credito_Detalhado[Mês/Ano],OFFSET(O$4,0,-3)),
SUMIFS(tb_Cartao_Credito_Detalhado[[Mês 5]:[Mês 5]],tb_Cartao_Credito_Detalhado[Mês/Ano],OFFSET(O$4,0,-4)),
SUMIFS(tb_Cartao_Credito_Detalhado[[Mês 6]:[Mês 6]],tb_Cartao_Credito_Detalhado[Mês/Ano],OFFSET(O$4,0,-5)),
SUMIFS(tb_Cartao_Credito_Detalhado[[Mês 7]:[Mês 7]],tb_Cartao_Credito_Detalhado[Mês/Ano],OFFSET(O$4,0,-6)),
SUMIFS(tb_Cartao_Credito_Detalhado[[Mês 8]:[Mês 8]],tb_Cartao_Credito_Detalhado[Mês/Ano],OFFSET(O$4,0,-7)),
SUMIFS(tb_Cartao_Credito_Detalhado[[Mês 9]:[Mês 9]],tb_Cartao_Credito_Detalhado[Mês/Ano],OFFSET(O$4,0,-8)),
SUMIFS(tb_Cartao_Credito_Detalhado[[Mês 10]:[Mês 10]],tb_Cartao_Credito_Detalhado[Mês/Ano],OFFSET(O$4,0,-9)),
SUMIFS(tb_Cartao_Credito_Detalhado[[Mês 11]:[Mês 11]],tb_Cartao_Credito_Detalhado[Mês/Ano],OFFSET(O$4,0,-10)),
SUMIFS(tb_Cartao_Credito_Detalhado[[Mês 12]:[Mês 12]],tb_Cartao_Credito_Detalhado[Mês/Ano],OFFSET(O$4,0,-11)),
SUMIFS(tb_Cartao_Credito_Detalhado[[Mês 13]:[Mês 13]],tb_Cartao_Credito_Detalhado[Mês/Ano],OFFSET(O$4,0,-12)),
SUMIFS(tb_Cartao_Credito_Detalhado[[Mês 14]:[Mês 14]],tb_Cartao_Credito_Detalhado[Mês/Ano],OFFSET(O$4,0,-13)),
SUMIFS(tb_Cartao_Credito_Detalhado[[Mês 15]:[Mês 15]],tb_Cartao_Credito_Detalhado[Mês/Ano],OFFSET(O$4,0,-14)),
SUMIFS(tb_Cartao_Credito_Detalhado[[Mês 16]:[Mês 16]],tb_Cartao_Credito_Detalhado[Mês/Ano],OFFSET(O$4,0,-15)),
SUMIFS(tb_Cartao_Credito_Detalhado[[Mês 17]:[Mês 17]],tb_Cartao_Credito_Detalhado[Mês/Ano],OFFSET(O$4,0,-16)),
SUMIFS(tb_Cartao_Credito_Detalhado[[Mês 18]:[Mês 18]],tb_Cartao_Credito_Detalhado[Mês/Ano],OFFSET(O$4,0,-17)),
SUMIFS(tb_Cartao_Credito_Detalhado[[Mês 19]:[Mês 19]],tb_Cartao_Credito_Detalhado[Mês/Ano],OFFSET(O$4,0,-18)),
SUMIFS(tb_Cartao_Credito_Detalhado[[Mês 20]:[Mês 20]],tb_Cartao_Credito_Detalhado[Mês/Ano],OFFSET(O$4,0,-19)),
SUMIFS(tb_Cartao_Credito_Detalhado[[Mês 21]:[Mês 21]],tb_Cartao_Credito_Detalhado[Mês/Ano],OFFSET(O$4,0,-20)),
SUMIFS(tb_Cartao_Credito_Detalhado[[Mês 22]:[Mês 22]],tb_Cartao_Credito_Detalhado[Mês/Ano],OFFSET(O$4,0,-21)),
SUMIFS(tb_Cartao_Credito_Detalhado[[Mês 23]:[Mês 23]],tb_Cartao_Credito_Detalhado[Mês/Ano],OFFSET(O$4,0,-22)),
SUMIFS(tb_Cartao_Credito_Detalhado[[Mês 24]:[Mês 24]],tb_Cartao_Credito_Detalhado[Mês/Ano],OFFSET(O$4,0,-23)),
SUMIFS(tb_Cartao_Credito_Detalhado[[Mês 25]:[Mês 25]],tb_Cartao_Credito_Detalhado[Mês/Ano],OFFSET(O$4,0,-24)),
SUMIFS(tb_Cartao_Credito_Detalhado[[Mês 26]:[Mês 26]],tb_Cartao_Credito_Detalhado[Mês/Ano],OFFSET(O$4,0,-25)),
SUMIFS(tb_Cartao_Credito_Detalhado[[Mês 27]:[Mês 27]],tb_Cartao_Credito_Detalhado[Mês/Ano],OFFSET(O$4,0,-26)),
SUMIFS(tb_Cartao_Credito_Detalhado[[Mês 28]:[Mês 28]],tb_Cartao_Credito_Detalhado[Mês/Ano],OFFSET(O$4,0,-27)),
SUMIFS(tb_Cartao_Credito_Detalhado[[Mês 29]:[Mês 29]],tb_Cartao_Credito_Detalhado[Mês/Ano],OFFSET(O$4,0,-28)),
SUMIFS(tb_Cartao_Credito_Detalhado[[Mês 30]:[Mês 30]],tb_Cartao_Credito_Detalhado[Mês/Ano],OFFSET(O$4,0,-29)),
SUMIFS(tb_Cartao_Credito_Detalhado[[Mês 31]:[Mês 31]],tb_Cartao_Credito_Detalhado[Mês/Ano],OFFSET(O$4,0,-30)),
SUMIFS(tb_Cartao_Credito_Detalhado[[Mês 32]:[Mês 32]],tb_Cartao_Credito_Detalhado[Mês/Ano],OFFSET(O$4,0,-31)),
SUMIFS(tb_Cartao_Credito_Detalhado[[Mês 33]:[Mês 33]],tb_Cartao_Credito_Detalhado[Mês/Ano],OFFSET(O$4,0,-32)),
SUMIFS(tb_Cartao_Credito_Detalhado[[Mês 34]:[Mês 34]],tb_Cartao_Credito_Detalhado[Mês/Ano],OFFSET(O$4,0,-33)),
SUMIFS(tb_Cartao_Credito_Detalhado[[Mês 35]:[Mês 35]],tb_Cartao_Credito_Detalhado[Mês/Ano],OFFSET(O$4,0,-34)),
SUMIFS(tb_Cartao_Credito_Detalhado[[Mês 36]:[Mês 36]],tb_Cartao_Credito_Detalhado[Mês/Ano],OFFSET(O$4,0,-35)),
SUMIFS(tb_Cartao_Credito_Detalhado[[Mês 37]:[Mês 37]],tb_Cartao_Credito_Detalhado[Mês/Ano],OFFSET(O$4,0,-36)),
SUMIFS(tb_Cartao_Credito_Detalhado[[Mês 38]:[Mês 38]],tb_Cartao_Credito_Detalhado[Mês/Ano],OFFSET(O$4,0,-37)),
SUMIFS(tb_Cartao_Credito_Detalhado[[Mês 39]:[Mês 39]],tb_Cartao_Credito_Detalhado[Mês/Ano],OFFSET(O$4,0,-38)),
SUMIFS(tb_Cartao_Credito_Detalhado[[Mês 40]:[Mês 40]],tb_Cartao_Credito_Detalhado[Mês/Ano],OFFSET(O$4,0,-39)),
SUMIFS(tb_Cartao_Credito_Detalhado[[Mês 41]:[Mês 41]],tb_Cartao_Credito_Detalhado[Mês/Ano],OFFSET(O$4,0,-40)),
SUMIFS(tb_Cartao_Credito_Detalhado[[Mês 42]:[Mês 42]],tb_Cartao_Credito_Detalhado[Mês/Ano],OFFSET(O$4,0,-41)),
SUMIFS(tb_Cartao_Credito_Detalhado[[Mês 43]:[Mês 43]],tb_Cartao_Credito_Detalhado[Mês/Ano],OFFSET(O$4,0,-42)),
SUMIFS(tb_Cartao_Credito_Detalhado[[Mês 44]:[Mês 44]],tb_Cartao_Credito_Detalhado[Mês/Ano],OFFSET(O$4,0,-43)),
SUMIFS(tb_Cartao_Credito_Detalhado[[Mês 45]:[Mês 45]],tb_Cartao_Credito_Detalhado[Mês/Ano],OFFSET(O$4,0,-44)),
)</f>
        <v>0</v>
      </c>
      <c r="P5" s="28">
        <f ca="1">SUM(
SUMIFS(tb_Cartao_Credito_Detalhado[[Mês 1]:[Mês 1]],tb_Cartao_Credito_Detalhado[Mês/Ano],P$4),
SUMIFS(tb_Cartao_Credito_Detalhado[[Mês 2]:[Mês 2]],tb_Cartao_Credito_Detalhado[Mês/Ano],OFFSET(P$4,0,-1)),
SUMIFS(tb_Cartao_Credito_Detalhado[[Mês 3]:[Mês 3]],tb_Cartao_Credito_Detalhado[Mês/Ano],OFFSET(P$4,0,-2)),
SUMIFS(tb_Cartao_Credito_Detalhado[[Mês 4]:[Mês 4]],tb_Cartao_Credito_Detalhado[Mês/Ano],OFFSET(P$4,0,-3)),
SUMIFS(tb_Cartao_Credito_Detalhado[[Mês 5]:[Mês 5]],tb_Cartao_Credito_Detalhado[Mês/Ano],OFFSET(P$4,0,-4)),
SUMIFS(tb_Cartao_Credito_Detalhado[[Mês 6]:[Mês 6]],tb_Cartao_Credito_Detalhado[Mês/Ano],OFFSET(P$4,0,-5)),
SUMIFS(tb_Cartao_Credito_Detalhado[[Mês 7]:[Mês 7]],tb_Cartao_Credito_Detalhado[Mês/Ano],OFFSET(P$4,0,-6)),
SUMIFS(tb_Cartao_Credito_Detalhado[[Mês 8]:[Mês 8]],tb_Cartao_Credito_Detalhado[Mês/Ano],OFFSET(P$4,0,-7)),
SUMIFS(tb_Cartao_Credito_Detalhado[[Mês 9]:[Mês 9]],tb_Cartao_Credito_Detalhado[Mês/Ano],OFFSET(P$4,0,-8)),
SUMIFS(tb_Cartao_Credito_Detalhado[[Mês 10]:[Mês 10]],tb_Cartao_Credito_Detalhado[Mês/Ano],OFFSET(P$4,0,-9)),
SUMIFS(tb_Cartao_Credito_Detalhado[[Mês 11]:[Mês 11]],tb_Cartao_Credito_Detalhado[Mês/Ano],OFFSET(P$4,0,-10)),
SUMIFS(tb_Cartao_Credito_Detalhado[[Mês 12]:[Mês 12]],tb_Cartao_Credito_Detalhado[Mês/Ano],OFFSET(P$4,0,-11)),
SUMIFS(tb_Cartao_Credito_Detalhado[[Mês 13]:[Mês 13]],tb_Cartao_Credito_Detalhado[Mês/Ano],OFFSET(P$4,0,-12)),
SUMIFS(tb_Cartao_Credito_Detalhado[[Mês 14]:[Mês 14]],tb_Cartao_Credito_Detalhado[Mês/Ano],OFFSET(P$4,0,-13)),
SUMIFS(tb_Cartao_Credito_Detalhado[[Mês 15]:[Mês 15]],tb_Cartao_Credito_Detalhado[Mês/Ano],OFFSET(P$4,0,-14)),
SUMIFS(tb_Cartao_Credito_Detalhado[[Mês 16]:[Mês 16]],tb_Cartao_Credito_Detalhado[Mês/Ano],OFFSET(P$4,0,-15)),
SUMIFS(tb_Cartao_Credito_Detalhado[[Mês 17]:[Mês 17]],tb_Cartao_Credito_Detalhado[Mês/Ano],OFFSET(P$4,0,-16)),
SUMIFS(tb_Cartao_Credito_Detalhado[[Mês 18]:[Mês 18]],tb_Cartao_Credito_Detalhado[Mês/Ano],OFFSET(P$4,0,-17)),
SUMIFS(tb_Cartao_Credito_Detalhado[[Mês 19]:[Mês 19]],tb_Cartao_Credito_Detalhado[Mês/Ano],OFFSET(P$4,0,-18)),
SUMIFS(tb_Cartao_Credito_Detalhado[[Mês 20]:[Mês 20]],tb_Cartao_Credito_Detalhado[Mês/Ano],OFFSET(P$4,0,-19)),
SUMIFS(tb_Cartao_Credito_Detalhado[[Mês 21]:[Mês 21]],tb_Cartao_Credito_Detalhado[Mês/Ano],OFFSET(P$4,0,-20)),
SUMIFS(tb_Cartao_Credito_Detalhado[[Mês 22]:[Mês 22]],tb_Cartao_Credito_Detalhado[Mês/Ano],OFFSET(P$4,0,-21)),
SUMIFS(tb_Cartao_Credito_Detalhado[[Mês 23]:[Mês 23]],tb_Cartao_Credito_Detalhado[Mês/Ano],OFFSET(P$4,0,-22)),
SUMIFS(tb_Cartao_Credito_Detalhado[[Mês 24]:[Mês 24]],tb_Cartao_Credito_Detalhado[Mês/Ano],OFFSET(P$4,0,-23)),
SUMIFS(tb_Cartao_Credito_Detalhado[[Mês 25]:[Mês 25]],tb_Cartao_Credito_Detalhado[Mês/Ano],OFFSET(P$4,0,-24)),
SUMIFS(tb_Cartao_Credito_Detalhado[[Mês 26]:[Mês 26]],tb_Cartao_Credito_Detalhado[Mês/Ano],OFFSET(P$4,0,-25)),
SUMIFS(tb_Cartao_Credito_Detalhado[[Mês 27]:[Mês 27]],tb_Cartao_Credito_Detalhado[Mês/Ano],OFFSET(P$4,0,-26)),
SUMIFS(tb_Cartao_Credito_Detalhado[[Mês 28]:[Mês 28]],tb_Cartao_Credito_Detalhado[Mês/Ano],OFFSET(P$4,0,-27)),
SUMIFS(tb_Cartao_Credito_Detalhado[[Mês 29]:[Mês 29]],tb_Cartao_Credito_Detalhado[Mês/Ano],OFFSET(P$4,0,-28)),
SUMIFS(tb_Cartao_Credito_Detalhado[[Mês 30]:[Mês 30]],tb_Cartao_Credito_Detalhado[Mês/Ano],OFFSET(P$4,0,-29)),
SUMIFS(tb_Cartao_Credito_Detalhado[[Mês 31]:[Mês 31]],tb_Cartao_Credito_Detalhado[Mês/Ano],OFFSET(P$4,0,-30)),
SUMIFS(tb_Cartao_Credito_Detalhado[[Mês 32]:[Mês 32]],tb_Cartao_Credito_Detalhado[Mês/Ano],OFFSET(P$4,0,-31)),
SUMIFS(tb_Cartao_Credito_Detalhado[[Mês 33]:[Mês 33]],tb_Cartao_Credito_Detalhado[Mês/Ano],OFFSET(P$4,0,-32)),
SUMIFS(tb_Cartao_Credito_Detalhado[[Mês 34]:[Mês 34]],tb_Cartao_Credito_Detalhado[Mês/Ano],OFFSET(P$4,0,-33)),
SUMIFS(tb_Cartao_Credito_Detalhado[[Mês 35]:[Mês 35]],tb_Cartao_Credito_Detalhado[Mês/Ano],OFFSET(P$4,0,-34)),
SUMIFS(tb_Cartao_Credito_Detalhado[[Mês 36]:[Mês 36]],tb_Cartao_Credito_Detalhado[Mês/Ano],OFFSET(P$4,0,-35)),
SUMIFS(tb_Cartao_Credito_Detalhado[[Mês 37]:[Mês 37]],tb_Cartao_Credito_Detalhado[Mês/Ano],OFFSET(P$4,0,-36)),
SUMIFS(tb_Cartao_Credito_Detalhado[[Mês 38]:[Mês 38]],tb_Cartao_Credito_Detalhado[Mês/Ano],OFFSET(P$4,0,-37)),
SUMIFS(tb_Cartao_Credito_Detalhado[[Mês 39]:[Mês 39]],tb_Cartao_Credito_Detalhado[Mês/Ano],OFFSET(P$4,0,-38)),
SUMIFS(tb_Cartao_Credito_Detalhado[[Mês 40]:[Mês 40]],tb_Cartao_Credito_Detalhado[Mês/Ano],OFFSET(P$4,0,-39)),
SUMIFS(tb_Cartao_Credito_Detalhado[[Mês 41]:[Mês 41]],tb_Cartao_Credito_Detalhado[Mês/Ano],OFFSET(P$4,0,-40)),
SUMIFS(tb_Cartao_Credito_Detalhado[[Mês 42]:[Mês 42]],tb_Cartao_Credito_Detalhado[Mês/Ano],OFFSET(P$4,0,-41)),
SUMIFS(tb_Cartao_Credito_Detalhado[[Mês 43]:[Mês 43]],tb_Cartao_Credito_Detalhado[Mês/Ano],OFFSET(P$4,0,-42)),
SUMIFS(tb_Cartao_Credito_Detalhado[[Mês 44]:[Mês 44]],tb_Cartao_Credito_Detalhado[Mês/Ano],OFFSET(P$4,0,-43)),
SUMIFS(tb_Cartao_Credito_Detalhado[[Mês 45]:[Mês 45]],tb_Cartao_Credito_Detalhado[Mês/Ano],OFFSET(P$4,0,-44)),
)</f>
        <v>133.33333333333334</v>
      </c>
      <c r="Q5" s="28">
        <f ca="1">SUM(
SUMIFS(tb_Cartao_Credito_Detalhado[[Mês 1]:[Mês 1]],tb_Cartao_Credito_Detalhado[Mês/Ano],Q$4),
SUMIFS(tb_Cartao_Credito_Detalhado[[Mês 2]:[Mês 2]],tb_Cartao_Credito_Detalhado[Mês/Ano],OFFSET(Q$4,0,-1)),
SUMIFS(tb_Cartao_Credito_Detalhado[[Mês 3]:[Mês 3]],tb_Cartao_Credito_Detalhado[Mês/Ano],OFFSET(Q$4,0,-2)),
SUMIFS(tb_Cartao_Credito_Detalhado[[Mês 4]:[Mês 4]],tb_Cartao_Credito_Detalhado[Mês/Ano],OFFSET(Q$4,0,-3)),
SUMIFS(tb_Cartao_Credito_Detalhado[[Mês 5]:[Mês 5]],tb_Cartao_Credito_Detalhado[Mês/Ano],OFFSET(Q$4,0,-4)),
SUMIFS(tb_Cartao_Credito_Detalhado[[Mês 6]:[Mês 6]],tb_Cartao_Credito_Detalhado[Mês/Ano],OFFSET(Q$4,0,-5)),
SUMIFS(tb_Cartao_Credito_Detalhado[[Mês 7]:[Mês 7]],tb_Cartao_Credito_Detalhado[Mês/Ano],OFFSET(Q$4,0,-6)),
SUMIFS(tb_Cartao_Credito_Detalhado[[Mês 8]:[Mês 8]],tb_Cartao_Credito_Detalhado[Mês/Ano],OFFSET(Q$4,0,-7)),
SUMIFS(tb_Cartao_Credito_Detalhado[[Mês 9]:[Mês 9]],tb_Cartao_Credito_Detalhado[Mês/Ano],OFFSET(Q$4,0,-8)),
SUMIFS(tb_Cartao_Credito_Detalhado[[Mês 10]:[Mês 10]],tb_Cartao_Credito_Detalhado[Mês/Ano],OFFSET(Q$4,0,-9)),
SUMIFS(tb_Cartao_Credito_Detalhado[[Mês 11]:[Mês 11]],tb_Cartao_Credito_Detalhado[Mês/Ano],OFFSET(Q$4,0,-10)),
SUMIFS(tb_Cartao_Credito_Detalhado[[Mês 12]:[Mês 12]],tb_Cartao_Credito_Detalhado[Mês/Ano],OFFSET(Q$4,0,-11)),
SUMIFS(tb_Cartao_Credito_Detalhado[[Mês 13]:[Mês 13]],tb_Cartao_Credito_Detalhado[Mês/Ano],OFFSET(Q$4,0,-12)),
SUMIFS(tb_Cartao_Credito_Detalhado[[Mês 14]:[Mês 14]],tb_Cartao_Credito_Detalhado[Mês/Ano],OFFSET(Q$4,0,-13)),
SUMIFS(tb_Cartao_Credito_Detalhado[[Mês 15]:[Mês 15]],tb_Cartao_Credito_Detalhado[Mês/Ano],OFFSET(Q$4,0,-14)),
SUMIFS(tb_Cartao_Credito_Detalhado[[Mês 16]:[Mês 16]],tb_Cartao_Credito_Detalhado[Mês/Ano],OFFSET(Q$4,0,-15)),
SUMIFS(tb_Cartao_Credito_Detalhado[[Mês 17]:[Mês 17]],tb_Cartao_Credito_Detalhado[Mês/Ano],OFFSET(Q$4,0,-16)),
SUMIFS(tb_Cartao_Credito_Detalhado[[Mês 18]:[Mês 18]],tb_Cartao_Credito_Detalhado[Mês/Ano],OFFSET(Q$4,0,-17)),
SUMIFS(tb_Cartao_Credito_Detalhado[[Mês 19]:[Mês 19]],tb_Cartao_Credito_Detalhado[Mês/Ano],OFFSET(Q$4,0,-18)),
SUMIFS(tb_Cartao_Credito_Detalhado[[Mês 20]:[Mês 20]],tb_Cartao_Credito_Detalhado[Mês/Ano],OFFSET(Q$4,0,-19)),
SUMIFS(tb_Cartao_Credito_Detalhado[[Mês 21]:[Mês 21]],tb_Cartao_Credito_Detalhado[Mês/Ano],OFFSET(Q$4,0,-20)),
SUMIFS(tb_Cartao_Credito_Detalhado[[Mês 22]:[Mês 22]],tb_Cartao_Credito_Detalhado[Mês/Ano],OFFSET(Q$4,0,-21)),
SUMIFS(tb_Cartao_Credito_Detalhado[[Mês 23]:[Mês 23]],tb_Cartao_Credito_Detalhado[Mês/Ano],OFFSET(Q$4,0,-22)),
SUMIFS(tb_Cartao_Credito_Detalhado[[Mês 24]:[Mês 24]],tb_Cartao_Credito_Detalhado[Mês/Ano],OFFSET(Q$4,0,-23)),
SUMIFS(tb_Cartao_Credito_Detalhado[[Mês 25]:[Mês 25]],tb_Cartao_Credito_Detalhado[Mês/Ano],OFFSET(Q$4,0,-24)),
SUMIFS(tb_Cartao_Credito_Detalhado[[Mês 26]:[Mês 26]],tb_Cartao_Credito_Detalhado[Mês/Ano],OFFSET(Q$4,0,-25)),
SUMIFS(tb_Cartao_Credito_Detalhado[[Mês 27]:[Mês 27]],tb_Cartao_Credito_Detalhado[Mês/Ano],OFFSET(Q$4,0,-26)),
SUMIFS(tb_Cartao_Credito_Detalhado[[Mês 28]:[Mês 28]],tb_Cartao_Credito_Detalhado[Mês/Ano],OFFSET(Q$4,0,-27)),
SUMIFS(tb_Cartao_Credito_Detalhado[[Mês 29]:[Mês 29]],tb_Cartao_Credito_Detalhado[Mês/Ano],OFFSET(Q$4,0,-28)),
SUMIFS(tb_Cartao_Credito_Detalhado[[Mês 30]:[Mês 30]],tb_Cartao_Credito_Detalhado[Mês/Ano],OFFSET(Q$4,0,-29)),
SUMIFS(tb_Cartao_Credito_Detalhado[[Mês 31]:[Mês 31]],tb_Cartao_Credito_Detalhado[Mês/Ano],OFFSET(Q$4,0,-30)),
SUMIFS(tb_Cartao_Credito_Detalhado[[Mês 32]:[Mês 32]],tb_Cartao_Credito_Detalhado[Mês/Ano],OFFSET(Q$4,0,-31)),
SUMIFS(tb_Cartao_Credito_Detalhado[[Mês 33]:[Mês 33]],tb_Cartao_Credito_Detalhado[Mês/Ano],OFFSET(Q$4,0,-32)),
SUMIFS(tb_Cartao_Credito_Detalhado[[Mês 34]:[Mês 34]],tb_Cartao_Credito_Detalhado[Mês/Ano],OFFSET(Q$4,0,-33)),
SUMIFS(tb_Cartao_Credito_Detalhado[[Mês 35]:[Mês 35]],tb_Cartao_Credito_Detalhado[Mês/Ano],OFFSET(Q$4,0,-34)),
SUMIFS(tb_Cartao_Credito_Detalhado[[Mês 36]:[Mês 36]],tb_Cartao_Credito_Detalhado[Mês/Ano],OFFSET(Q$4,0,-35)),
SUMIFS(tb_Cartao_Credito_Detalhado[[Mês 37]:[Mês 37]],tb_Cartao_Credito_Detalhado[Mês/Ano],OFFSET(Q$4,0,-36)),
SUMIFS(tb_Cartao_Credito_Detalhado[[Mês 38]:[Mês 38]],tb_Cartao_Credito_Detalhado[Mês/Ano],OFFSET(Q$4,0,-37)),
SUMIFS(tb_Cartao_Credito_Detalhado[[Mês 39]:[Mês 39]],tb_Cartao_Credito_Detalhado[Mês/Ano],OFFSET(Q$4,0,-38)),
SUMIFS(tb_Cartao_Credito_Detalhado[[Mês 40]:[Mês 40]],tb_Cartao_Credito_Detalhado[Mês/Ano],OFFSET(Q$4,0,-39)),
SUMIFS(tb_Cartao_Credito_Detalhado[[Mês 41]:[Mês 41]],tb_Cartao_Credito_Detalhado[Mês/Ano],OFFSET(Q$4,0,-40)),
SUMIFS(tb_Cartao_Credito_Detalhado[[Mês 42]:[Mês 42]],tb_Cartao_Credito_Detalhado[Mês/Ano],OFFSET(Q$4,0,-41)),
SUMIFS(tb_Cartao_Credito_Detalhado[[Mês 43]:[Mês 43]],tb_Cartao_Credito_Detalhado[Mês/Ano],OFFSET(Q$4,0,-42)),
SUMIFS(tb_Cartao_Credito_Detalhado[[Mês 44]:[Mês 44]],tb_Cartao_Credito_Detalhado[Mês/Ano],OFFSET(Q$4,0,-43)),
SUMIFS(tb_Cartao_Credito_Detalhado[[Mês 45]:[Mês 45]],tb_Cartao_Credito_Detalhado[Mês/Ano],OFFSET(Q$4,0,-44)),
)</f>
        <v>133.33333333333334</v>
      </c>
      <c r="R5" s="28">
        <f ca="1">SUM(
SUMIFS(tb_Cartao_Credito_Detalhado[[Mês 1]:[Mês 1]],tb_Cartao_Credito_Detalhado[Mês/Ano],R$4),
SUMIFS(tb_Cartao_Credito_Detalhado[[Mês 2]:[Mês 2]],tb_Cartao_Credito_Detalhado[Mês/Ano],OFFSET(R$4,0,-1)),
SUMIFS(tb_Cartao_Credito_Detalhado[[Mês 3]:[Mês 3]],tb_Cartao_Credito_Detalhado[Mês/Ano],OFFSET(R$4,0,-2)),
SUMIFS(tb_Cartao_Credito_Detalhado[[Mês 4]:[Mês 4]],tb_Cartao_Credito_Detalhado[Mês/Ano],OFFSET(R$4,0,-3)),
SUMIFS(tb_Cartao_Credito_Detalhado[[Mês 5]:[Mês 5]],tb_Cartao_Credito_Detalhado[Mês/Ano],OFFSET(R$4,0,-4)),
SUMIFS(tb_Cartao_Credito_Detalhado[[Mês 6]:[Mês 6]],tb_Cartao_Credito_Detalhado[Mês/Ano],OFFSET(R$4,0,-5)),
SUMIFS(tb_Cartao_Credito_Detalhado[[Mês 7]:[Mês 7]],tb_Cartao_Credito_Detalhado[Mês/Ano],OFFSET(R$4,0,-6)),
SUMIFS(tb_Cartao_Credito_Detalhado[[Mês 8]:[Mês 8]],tb_Cartao_Credito_Detalhado[Mês/Ano],OFFSET(R$4,0,-7)),
SUMIFS(tb_Cartao_Credito_Detalhado[[Mês 9]:[Mês 9]],tb_Cartao_Credito_Detalhado[Mês/Ano],OFFSET(R$4,0,-8)),
SUMIFS(tb_Cartao_Credito_Detalhado[[Mês 10]:[Mês 10]],tb_Cartao_Credito_Detalhado[Mês/Ano],OFFSET(R$4,0,-9)),
SUMIFS(tb_Cartao_Credito_Detalhado[[Mês 11]:[Mês 11]],tb_Cartao_Credito_Detalhado[Mês/Ano],OFFSET(R$4,0,-10)),
SUMIFS(tb_Cartao_Credito_Detalhado[[Mês 12]:[Mês 12]],tb_Cartao_Credito_Detalhado[Mês/Ano],OFFSET(R$4,0,-11)),
SUMIFS(tb_Cartao_Credito_Detalhado[[Mês 13]:[Mês 13]],tb_Cartao_Credito_Detalhado[Mês/Ano],OFFSET(R$4,0,-12)),
SUMIFS(tb_Cartao_Credito_Detalhado[[Mês 14]:[Mês 14]],tb_Cartao_Credito_Detalhado[Mês/Ano],OFFSET(R$4,0,-13)),
SUMIFS(tb_Cartao_Credito_Detalhado[[Mês 15]:[Mês 15]],tb_Cartao_Credito_Detalhado[Mês/Ano],OFFSET(R$4,0,-14)),
SUMIFS(tb_Cartao_Credito_Detalhado[[Mês 16]:[Mês 16]],tb_Cartao_Credito_Detalhado[Mês/Ano],OFFSET(R$4,0,-15)),
SUMIFS(tb_Cartao_Credito_Detalhado[[Mês 17]:[Mês 17]],tb_Cartao_Credito_Detalhado[Mês/Ano],OFFSET(R$4,0,-16)),
SUMIFS(tb_Cartao_Credito_Detalhado[[Mês 18]:[Mês 18]],tb_Cartao_Credito_Detalhado[Mês/Ano],OFFSET(R$4,0,-17)),
SUMIFS(tb_Cartao_Credito_Detalhado[[Mês 19]:[Mês 19]],tb_Cartao_Credito_Detalhado[Mês/Ano],OFFSET(R$4,0,-18)),
SUMIFS(tb_Cartao_Credito_Detalhado[[Mês 20]:[Mês 20]],tb_Cartao_Credito_Detalhado[Mês/Ano],OFFSET(R$4,0,-19)),
SUMIFS(tb_Cartao_Credito_Detalhado[[Mês 21]:[Mês 21]],tb_Cartao_Credito_Detalhado[Mês/Ano],OFFSET(R$4,0,-20)),
SUMIFS(tb_Cartao_Credito_Detalhado[[Mês 22]:[Mês 22]],tb_Cartao_Credito_Detalhado[Mês/Ano],OFFSET(R$4,0,-21)),
SUMIFS(tb_Cartao_Credito_Detalhado[[Mês 23]:[Mês 23]],tb_Cartao_Credito_Detalhado[Mês/Ano],OFFSET(R$4,0,-22)),
SUMIFS(tb_Cartao_Credito_Detalhado[[Mês 24]:[Mês 24]],tb_Cartao_Credito_Detalhado[Mês/Ano],OFFSET(R$4,0,-23)),
SUMIFS(tb_Cartao_Credito_Detalhado[[Mês 25]:[Mês 25]],tb_Cartao_Credito_Detalhado[Mês/Ano],OFFSET(R$4,0,-24)),
SUMIFS(tb_Cartao_Credito_Detalhado[[Mês 26]:[Mês 26]],tb_Cartao_Credito_Detalhado[Mês/Ano],OFFSET(R$4,0,-25)),
SUMIFS(tb_Cartao_Credito_Detalhado[[Mês 27]:[Mês 27]],tb_Cartao_Credito_Detalhado[Mês/Ano],OFFSET(R$4,0,-26)),
SUMIFS(tb_Cartao_Credito_Detalhado[[Mês 28]:[Mês 28]],tb_Cartao_Credito_Detalhado[Mês/Ano],OFFSET(R$4,0,-27)),
SUMIFS(tb_Cartao_Credito_Detalhado[[Mês 29]:[Mês 29]],tb_Cartao_Credito_Detalhado[Mês/Ano],OFFSET(R$4,0,-28)),
SUMIFS(tb_Cartao_Credito_Detalhado[[Mês 30]:[Mês 30]],tb_Cartao_Credito_Detalhado[Mês/Ano],OFFSET(R$4,0,-29)),
SUMIFS(tb_Cartao_Credito_Detalhado[[Mês 31]:[Mês 31]],tb_Cartao_Credito_Detalhado[Mês/Ano],OFFSET(R$4,0,-30)),
SUMIFS(tb_Cartao_Credito_Detalhado[[Mês 32]:[Mês 32]],tb_Cartao_Credito_Detalhado[Mês/Ano],OFFSET(R$4,0,-31)),
SUMIFS(tb_Cartao_Credito_Detalhado[[Mês 33]:[Mês 33]],tb_Cartao_Credito_Detalhado[Mês/Ano],OFFSET(R$4,0,-32)),
SUMIFS(tb_Cartao_Credito_Detalhado[[Mês 34]:[Mês 34]],tb_Cartao_Credito_Detalhado[Mês/Ano],OFFSET(R$4,0,-33)),
SUMIFS(tb_Cartao_Credito_Detalhado[[Mês 35]:[Mês 35]],tb_Cartao_Credito_Detalhado[Mês/Ano],OFFSET(R$4,0,-34)),
SUMIFS(tb_Cartao_Credito_Detalhado[[Mês 36]:[Mês 36]],tb_Cartao_Credito_Detalhado[Mês/Ano],OFFSET(R$4,0,-35)),
SUMIFS(tb_Cartao_Credito_Detalhado[[Mês 37]:[Mês 37]],tb_Cartao_Credito_Detalhado[Mês/Ano],OFFSET(R$4,0,-36)),
SUMIFS(tb_Cartao_Credito_Detalhado[[Mês 38]:[Mês 38]],tb_Cartao_Credito_Detalhado[Mês/Ano],OFFSET(R$4,0,-37)),
SUMIFS(tb_Cartao_Credito_Detalhado[[Mês 39]:[Mês 39]],tb_Cartao_Credito_Detalhado[Mês/Ano],OFFSET(R$4,0,-38)),
SUMIFS(tb_Cartao_Credito_Detalhado[[Mês 40]:[Mês 40]],tb_Cartao_Credito_Detalhado[Mês/Ano],OFFSET(R$4,0,-39)),
SUMIFS(tb_Cartao_Credito_Detalhado[[Mês 41]:[Mês 41]],tb_Cartao_Credito_Detalhado[Mês/Ano],OFFSET(R$4,0,-40)),
SUMIFS(tb_Cartao_Credito_Detalhado[[Mês 42]:[Mês 42]],tb_Cartao_Credito_Detalhado[Mês/Ano],OFFSET(R$4,0,-41)),
SUMIFS(tb_Cartao_Credito_Detalhado[[Mês 43]:[Mês 43]],tb_Cartao_Credito_Detalhado[Mês/Ano],OFFSET(R$4,0,-42)),
SUMIFS(tb_Cartao_Credito_Detalhado[[Mês 44]:[Mês 44]],tb_Cartao_Credito_Detalhado[Mês/Ano],OFFSET(R$4,0,-43)),
SUMIFS(tb_Cartao_Credito_Detalhado[[Mês 45]:[Mês 45]],tb_Cartao_Credito_Detalhado[Mês/Ano],OFFSET(R$4,0,-44)),
)</f>
        <v>133.33333333333334</v>
      </c>
      <c r="S5" s="28">
        <f ca="1">SUM(
SUMIFS(tb_Cartao_Credito_Detalhado[[Mês 1]:[Mês 1]],tb_Cartao_Credito_Detalhado[Mês/Ano],S$4),
SUMIFS(tb_Cartao_Credito_Detalhado[[Mês 2]:[Mês 2]],tb_Cartao_Credito_Detalhado[Mês/Ano],OFFSET(S$4,0,-1)),
SUMIFS(tb_Cartao_Credito_Detalhado[[Mês 3]:[Mês 3]],tb_Cartao_Credito_Detalhado[Mês/Ano],OFFSET(S$4,0,-2)),
SUMIFS(tb_Cartao_Credito_Detalhado[[Mês 4]:[Mês 4]],tb_Cartao_Credito_Detalhado[Mês/Ano],OFFSET(S$4,0,-3)),
SUMIFS(tb_Cartao_Credito_Detalhado[[Mês 5]:[Mês 5]],tb_Cartao_Credito_Detalhado[Mês/Ano],OFFSET(S$4,0,-4)),
SUMIFS(tb_Cartao_Credito_Detalhado[[Mês 6]:[Mês 6]],tb_Cartao_Credito_Detalhado[Mês/Ano],OFFSET(S$4,0,-5)),
SUMIFS(tb_Cartao_Credito_Detalhado[[Mês 7]:[Mês 7]],tb_Cartao_Credito_Detalhado[Mês/Ano],OFFSET(S$4,0,-6)),
SUMIFS(tb_Cartao_Credito_Detalhado[[Mês 8]:[Mês 8]],tb_Cartao_Credito_Detalhado[Mês/Ano],OFFSET(S$4,0,-7)),
SUMIFS(tb_Cartao_Credito_Detalhado[[Mês 9]:[Mês 9]],tb_Cartao_Credito_Detalhado[Mês/Ano],OFFSET(S$4,0,-8)),
SUMIFS(tb_Cartao_Credito_Detalhado[[Mês 10]:[Mês 10]],tb_Cartao_Credito_Detalhado[Mês/Ano],OFFSET(S$4,0,-9)),
SUMIFS(tb_Cartao_Credito_Detalhado[[Mês 11]:[Mês 11]],tb_Cartao_Credito_Detalhado[Mês/Ano],OFFSET(S$4,0,-10)),
SUMIFS(tb_Cartao_Credito_Detalhado[[Mês 12]:[Mês 12]],tb_Cartao_Credito_Detalhado[Mês/Ano],OFFSET(S$4,0,-11)),
SUMIFS(tb_Cartao_Credito_Detalhado[[Mês 13]:[Mês 13]],tb_Cartao_Credito_Detalhado[Mês/Ano],OFFSET(S$4,0,-12)),
SUMIFS(tb_Cartao_Credito_Detalhado[[Mês 14]:[Mês 14]],tb_Cartao_Credito_Detalhado[Mês/Ano],OFFSET(S$4,0,-13)),
SUMIFS(tb_Cartao_Credito_Detalhado[[Mês 15]:[Mês 15]],tb_Cartao_Credito_Detalhado[Mês/Ano],OFFSET(S$4,0,-14)),
SUMIFS(tb_Cartao_Credito_Detalhado[[Mês 16]:[Mês 16]],tb_Cartao_Credito_Detalhado[Mês/Ano],OFFSET(S$4,0,-15)),
SUMIFS(tb_Cartao_Credito_Detalhado[[Mês 17]:[Mês 17]],tb_Cartao_Credito_Detalhado[Mês/Ano],OFFSET(S$4,0,-16)),
SUMIFS(tb_Cartao_Credito_Detalhado[[Mês 18]:[Mês 18]],tb_Cartao_Credito_Detalhado[Mês/Ano],OFFSET(S$4,0,-17)),
SUMIFS(tb_Cartao_Credito_Detalhado[[Mês 19]:[Mês 19]],tb_Cartao_Credito_Detalhado[Mês/Ano],OFFSET(S$4,0,-18)),
SUMIFS(tb_Cartao_Credito_Detalhado[[Mês 20]:[Mês 20]],tb_Cartao_Credito_Detalhado[Mês/Ano],OFFSET(S$4,0,-19)),
SUMIFS(tb_Cartao_Credito_Detalhado[[Mês 21]:[Mês 21]],tb_Cartao_Credito_Detalhado[Mês/Ano],OFFSET(S$4,0,-20)),
SUMIFS(tb_Cartao_Credito_Detalhado[[Mês 22]:[Mês 22]],tb_Cartao_Credito_Detalhado[Mês/Ano],OFFSET(S$4,0,-21)),
SUMIFS(tb_Cartao_Credito_Detalhado[[Mês 23]:[Mês 23]],tb_Cartao_Credito_Detalhado[Mês/Ano],OFFSET(S$4,0,-22)),
SUMIFS(tb_Cartao_Credito_Detalhado[[Mês 24]:[Mês 24]],tb_Cartao_Credito_Detalhado[Mês/Ano],OFFSET(S$4,0,-23)),
SUMIFS(tb_Cartao_Credito_Detalhado[[Mês 25]:[Mês 25]],tb_Cartao_Credito_Detalhado[Mês/Ano],OFFSET(S$4,0,-24)),
SUMIFS(tb_Cartao_Credito_Detalhado[[Mês 26]:[Mês 26]],tb_Cartao_Credito_Detalhado[Mês/Ano],OFFSET(S$4,0,-25)),
SUMIFS(tb_Cartao_Credito_Detalhado[[Mês 27]:[Mês 27]],tb_Cartao_Credito_Detalhado[Mês/Ano],OFFSET(S$4,0,-26)),
SUMIFS(tb_Cartao_Credito_Detalhado[[Mês 28]:[Mês 28]],tb_Cartao_Credito_Detalhado[Mês/Ano],OFFSET(S$4,0,-27)),
SUMIFS(tb_Cartao_Credito_Detalhado[[Mês 29]:[Mês 29]],tb_Cartao_Credito_Detalhado[Mês/Ano],OFFSET(S$4,0,-28)),
SUMIFS(tb_Cartao_Credito_Detalhado[[Mês 30]:[Mês 30]],tb_Cartao_Credito_Detalhado[Mês/Ano],OFFSET(S$4,0,-29)),
SUMIFS(tb_Cartao_Credito_Detalhado[[Mês 31]:[Mês 31]],tb_Cartao_Credito_Detalhado[Mês/Ano],OFFSET(S$4,0,-30)),
SUMIFS(tb_Cartao_Credito_Detalhado[[Mês 32]:[Mês 32]],tb_Cartao_Credito_Detalhado[Mês/Ano],OFFSET(S$4,0,-31)),
SUMIFS(tb_Cartao_Credito_Detalhado[[Mês 33]:[Mês 33]],tb_Cartao_Credito_Detalhado[Mês/Ano],OFFSET(S$4,0,-32)),
SUMIFS(tb_Cartao_Credito_Detalhado[[Mês 34]:[Mês 34]],tb_Cartao_Credito_Detalhado[Mês/Ano],OFFSET(S$4,0,-33)),
SUMIFS(tb_Cartao_Credito_Detalhado[[Mês 35]:[Mês 35]],tb_Cartao_Credito_Detalhado[Mês/Ano],OFFSET(S$4,0,-34)),
SUMIFS(tb_Cartao_Credito_Detalhado[[Mês 36]:[Mês 36]],tb_Cartao_Credito_Detalhado[Mês/Ano],OFFSET(S$4,0,-35)),
SUMIFS(tb_Cartao_Credito_Detalhado[[Mês 37]:[Mês 37]],tb_Cartao_Credito_Detalhado[Mês/Ano],OFFSET(S$4,0,-36)),
SUMIFS(tb_Cartao_Credito_Detalhado[[Mês 38]:[Mês 38]],tb_Cartao_Credito_Detalhado[Mês/Ano],OFFSET(S$4,0,-37)),
SUMIFS(tb_Cartao_Credito_Detalhado[[Mês 39]:[Mês 39]],tb_Cartao_Credito_Detalhado[Mês/Ano],OFFSET(S$4,0,-38)),
SUMIFS(tb_Cartao_Credito_Detalhado[[Mês 40]:[Mês 40]],tb_Cartao_Credito_Detalhado[Mês/Ano],OFFSET(S$4,0,-39)),
SUMIFS(tb_Cartao_Credito_Detalhado[[Mês 41]:[Mês 41]],tb_Cartao_Credito_Detalhado[Mês/Ano],OFFSET(S$4,0,-40)),
SUMIFS(tb_Cartao_Credito_Detalhado[[Mês 42]:[Mês 42]],tb_Cartao_Credito_Detalhado[Mês/Ano],OFFSET(S$4,0,-41)),
SUMIFS(tb_Cartao_Credito_Detalhado[[Mês 43]:[Mês 43]],tb_Cartao_Credito_Detalhado[Mês/Ano],OFFSET(S$4,0,-42)),
SUMIFS(tb_Cartao_Credito_Detalhado[[Mês 44]:[Mês 44]],tb_Cartao_Credito_Detalhado[Mês/Ano],OFFSET(S$4,0,-43)),
SUMIFS(tb_Cartao_Credito_Detalhado[[Mês 45]:[Mês 45]],tb_Cartao_Credito_Detalhado[Mês/Ano],OFFSET(S$4,0,-44)),
)</f>
        <v>133.33333333333334</v>
      </c>
      <c r="T5" s="28">
        <f ca="1">SUM(
SUMIFS(tb_Cartao_Credito_Detalhado[[Mês 1]:[Mês 1]],tb_Cartao_Credito_Detalhado[Mês/Ano],T$4),
SUMIFS(tb_Cartao_Credito_Detalhado[[Mês 2]:[Mês 2]],tb_Cartao_Credito_Detalhado[Mês/Ano],OFFSET(T$4,0,-1)),
SUMIFS(tb_Cartao_Credito_Detalhado[[Mês 3]:[Mês 3]],tb_Cartao_Credito_Detalhado[Mês/Ano],OFFSET(T$4,0,-2)),
SUMIFS(tb_Cartao_Credito_Detalhado[[Mês 4]:[Mês 4]],tb_Cartao_Credito_Detalhado[Mês/Ano],OFFSET(T$4,0,-3)),
SUMIFS(tb_Cartao_Credito_Detalhado[[Mês 5]:[Mês 5]],tb_Cartao_Credito_Detalhado[Mês/Ano],OFFSET(T$4,0,-4)),
SUMIFS(tb_Cartao_Credito_Detalhado[[Mês 6]:[Mês 6]],tb_Cartao_Credito_Detalhado[Mês/Ano],OFFSET(T$4,0,-5)),
SUMIFS(tb_Cartao_Credito_Detalhado[[Mês 7]:[Mês 7]],tb_Cartao_Credito_Detalhado[Mês/Ano],OFFSET(T$4,0,-6)),
SUMIFS(tb_Cartao_Credito_Detalhado[[Mês 8]:[Mês 8]],tb_Cartao_Credito_Detalhado[Mês/Ano],OFFSET(T$4,0,-7)),
SUMIFS(tb_Cartao_Credito_Detalhado[[Mês 9]:[Mês 9]],tb_Cartao_Credito_Detalhado[Mês/Ano],OFFSET(T$4,0,-8)),
SUMIFS(tb_Cartao_Credito_Detalhado[[Mês 10]:[Mês 10]],tb_Cartao_Credito_Detalhado[Mês/Ano],OFFSET(T$4,0,-9)),
SUMIFS(tb_Cartao_Credito_Detalhado[[Mês 11]:[Mês 11]],tb_Cartao_Credito_Detalhado[Mês/Ano],OFFSET(T$4,0,-10)),
SUMIFS(tb_Cartao_Credito_Detalhado[[Mês 12]:[Mês 12]],tb_Cartao_Credito_Detalhado[Mês/Ano],OFFSET(T$4,0,-11)),
SUMIFS(tb_Cartao_Credito_Detalhado[[Mês 13]:[Mês 13]],tb_Cartao_Credito_Detalhado[Mês/Ano],OFFSET(T$4,0,-12)),
SUMIFS(tb_Cartao_Credito_Detalhado[[Mês 14]:[Mês 14]],tb_Cartao_Credito_Detalhado[Mês/Ano],OFFSET(T$4,0,-13)),
SUMIFS(tb_Cartao_Credito_Detalhado[[Mês 15]:[Mês 15]],tb_Cartao_Credito_Detalhado[Mês/Ano],OFFSET(T$4,0,-14)),
SUMIFS(tb_Cartao_Credito_Detalhado[[Mês 16]:[Mês 16]],tb_Cartao_Credito_Detalhado[Mês/Ano],OFFSET(T$4,0,-15)),
SUMIFS(tb_Cartao_Credito_Detalhado[[Mês 17]:[Mês 17]],tb_Cartao_Credito_Detalhado[Mês/Ano],OFFSET(T$4,0,-16)),
SUMIFS(tb_Cartao_Credito_Detalhado[[Mês 18]:[Mês 18]],tb_Cartao_Credito_Detalhado[Mês/Ano],OFFSET(T$4,0,-17)),
SUMIFS(tb_Cartao_Credito_Detalhado[[Mês 19]:[Mês 19]],tb_Cartao_Credito_Detalhado[Mês/Ano],OFFSET(T$4,0,-18)),
SUMIFS(tb_Cartao_Credito_Detalhado[[Mês 20]:[Mês 20]],tb_Cartao_Credito_Detalhado[Mês/Ano],OFFSET(T$4,0,-19)),
SUMIFS(tb_Cartao_Credito_Detalhado[[Mês 21]:[Mês 21]],tb_Cartao_Credito_Detalhado[Mês/Ano],OFFSET(T$4,0,-20)),
SUMIFS(tb_Cartao_Credito_Detalhado[[Mês 22]:[Mês 22]],tb_Cartao_Credito_Detalhado[Mês/Ano],OFFSET(T$4,0,-21)),
SUMIFS(tb_Cartao_Credito_Detalhado[[Mês 23]:[Mês 23]],tb_Cartao_Credito_Detalhado[Mês/Ano],OFFSET(T$4,0,-22)),
SUMIFS(tb_Cartao_Credito_Detalhado[[Mês 24]:[Mês 24]],tb_Cartao_Credito_Detalhado[Mês/Ano],OFFSET(T$4,0,-23)),
SUMIFS(tb_Cartao_Credito_Detalhado[[Mês 25]:[Mês 25]],tb_Cartao_Credito_Detalhado[Mês/Ano],OFFSET(T$4,0,-24)),
SUMIFS(tb_Cartao_Credito_Detalhado[[Mês 26]:[Mês 26]],tb_Cartao_Credito_Detalhado[Mês/Ano],OFFSET(T$4,0,-25)),
SUMIFS(tb_Cartao_Credito_Detalhado[[Mês 27]:[Mês 27]],tb_Cartao_Credito_Detalhado[Mês/Ano],OFFSET(T$4,0,-26)),
SUMIFS(tb_Cartao_Credito_Detalhado[[Mês 28]:[Mês 28]],tb_Cartao_Credito_Detalhado[Mês/Ano],OFFSET(T$4,0,-27)),
SUMIFS(tb_Cartao_Credito_Detalhado[[Mês 29]:[Mês 29]],tb_Cartao_Credito_Detalhado[Mês/Ano],OFFSET(T$4,0,-28)),
SUMIFS(tb_Cartao_Credito_Detalhado[[Mês 30]:[Mês 30]],tb_Cartao_Credito_Detalhado[Mês/Ano],OFFSET(T$4,0,-29)),
SUMIFS(tb_Cartao_Credito_Detalhado[[Mês 31]:[Mês 31]],tb_Cartao_Credito_Detalhado[Mês/Ano],OFFSET(T$4,0,-30)),
SUMIFS(tb_Cartao_Credito_Detalhado[[Mês 32]:[Mês 32]],tb_Cartao_Credito_Detalhado[Mês/Ano],OFFSET(T$4,0,-31)),
SUMIFS(tb_Cartao_Credito_Detalhado[[Mês 33]:[Mês 33]],tb_Cartao_Credito_Detalhado[Mês/Ano],OFFSET(T$4,0,-32)),
SUMIFS(tb_Cartao_Credito_Detalhado[[Mês 34]:[Mês 34]],tb_Cartao_Credito_Detalhado[Mês/Ano],OFFSET(T$4,0,-33)),
SUMIFS(tb_Cartao_Credito_Detalhado[[Mês 35]:[Mês 35]],tb_Cartao_Credito_Detalhado[Mês/Ano],OFFSET(T$4,0,-34)),
SUMIFS(tb_Cartao_Credito_Detalhado[[Mês 36]:[Mês 36]],tb_Cartao_Credito_Detalhado[Mês/Ano],OFFSET(T$4,0,-35)),
SUMIFS(tb_Cartao_Credito_Detalhado[[Mês 37]:[Mês 37]],tb_Cartao_Credito_Detalhado[Mês/Ano],OFFSET(T$4,0,-36)),
SUMIFS(tb_Cartao_Credito_Detalhado[[Mês 38]:[Mês 38]],tb_Cartao_Credito_Detalhado[Mês/Ano],OFFSET(T$4,0,-37)),
SUMIFS(tb_Cartao_Credito_Detalhado[[Mês 39]:[Mês 39]],tb_Cartao_Credito_Detalhado[Mês/Ano],OFFSET(T$4,0,-38)),
SUMIFS(tb_Cartao_Credito_Detalhado[[Mês 40]:[Mês 40]],tb_Cartao_Credito_Detalhado[Mês/Ano],OFFSET(T$4,0,-39)),
SUMIFS(tb_Cartao_Credito_Detalhado[[Mês 41]:[Mês 41]],tb_Cartao_Credito_Detalhado[Mês/Ano],OFFSET(T$4,0,-40)),
SUMIFS(tb_Cartao_Credito_Detalhado[[Mês 42]:[Mês 42]],tb_Cartao_Credito_Detalhado[Mês/Ano],OFFSET(T$4,0,-41)),
SUMIFS(tb_Cartao_Credito_Detalhado[[Mês 43]:[Mês 43]],tb_Cartao_Credito_Detalhado[Mês/Ano],OFFSET(T$4,0,-42)),
SUMIFS(tb_Cartao_Credito_Detalhado[[Mês 44]:[Mês 44]],tb_Cartao_Credito_Detalhado[Mês/Ano],OFFSET(T$4,0,-43)),
SUMIFS(tb_Cartao_Credito_Detalhado[[Mês 45]:[Mês 45]],tb_Cartao_Credito_Detalhado[Mês/Ano],OFFSET(T$4,0,-44)),
)</f>
        <v>133.33333333333334</v>
      </c>
      <c r="U5" s="28">
        <f ca="1">SUM(
SUMIFS(tb_Cartao_Credito_Detalhado[[Mês 1]:[Mês 1]],tb_Cartao_Credito_Detalhado[Mês/Ano],U$4),
SUMIFS(tb_Cartao_Credito_Detalhado[[Mês 2]:[Mês 2]],tb_Cartao_Credito_Detalhado[Mês/Ano],OFFSET(U$4,0,-1)),
SUMIFS(tb_Cartao_Credito_Detalhado[[Mês 3]:[Mês 3]],tb_Cartao_Credito_Detalhado[Mês/Ano],OFFSET(U$4,0,-2)),
SUMIFS(tb_Cartao_Credito_Detalhado[[Mês 4]:[Mês 4]],tb_Cartao_Credito_Detalhado[Mês/Ano],OFFSET(U$4,0,-3)),
SUMIFS(tb_Cartao_Credito_Detalhado[[Mês 5]:[Mês 5]],tb_Cartao_Credito_Detalhado[Mês/Ano],OFFSET(U$4,0,-4)),
SUMIFS(tb_Cartao_Credito_Detalhado[[Mês 6]:[Mês 6]],tb_Cartao_Credito_Detalhado[Mês/Ano],OFFSET(U$4,0,-5)),
SUMIFS(tb_Cartao_Credito_Detalhado[[Mês 7]:[Mês 7]],tb_Cartao_Credito_Detalhado[Mês/Ano],OFFSET(U$4,0,-6)),
SUMIFS(tb_Cartao_Credito_Detalhado[[Mês 8]:[Mês 8]],tb_Cartao_Credito_Detalhado[Mês/Ano],OFFSET(U$4,0,-7)),
SUMIFS(tb_Cartao_Credito_Detalhado[[Mês 9]:[Mês 9]],tb_Cartao_Credito_Detalhado[Mês/Ano],OFFSET(U$4,0,-8)),
SUMIFS(tb_Cartao_Credito_Detalhado[[Mês 10]:[Mês 10]],tb_Cartao_Credito_Detalhado[Mês/Ano],OFFSET(U$4,0,-9)),
SUMIFS(tb_Cartao_Credito_Detalhado[[Mês 11]:[Mês 11]],tb_Cartao_Credito_Detalhado[Mês/Ano],OFFSET(U$4,0,-10)),
SUMIFS(tb_Cartao_Credito_Detalhado[[Mês 12]:[Mês 12]],tb_Cartao_Credito_Detalhado[Mês/Ano],OFFSET(U$4,0,-11)),
SUMIFS(tb_Cartao_Credito_Detalhado[[Mês 13]:[Mês 13]],tb_Cartao_Credito_Detalhado[Mês/Ano],OFFSET(U$4,0,-12)),
SUMIFS(tb_Cartao_Credito_Detalhado[[Mês 14]:[Mês 14]],tb_Cartao_Credito_Detalhado[Mês/Ano],OFFSET(U$4,0,-13)),
SUMIFS(tb_Cartao_Credito_Detalhado[[Mês 15]:[Mês 15]],tb_Cartao_Credito_Detalhado[Mês/Ano],OFFSET(U$4,0,-14)),
SUMIFS(tb_Cartao_Credito_Detalhado[[Mês 16]:[Mês 16]],tb_Cartao_Credito_Detalhado[Mês/Ano],OFFSET(U$4,0,-15)),
SUMIFS(tb_Cartao_Credito_Detalhado[[Mês 17]:[Mês 17]],tb_Cartao_Credito_Detalhado[Mês/Ano],OFFSET(U$4,0,-16)),
SUMIFS(tb_Cartao_Credito_Detalhado[[Mês 18]:[Mês 18]],tb_Cartao_Credito_Detalhado[Mês/Ano],OFFSET(U$4,0,-17)),
SUMIFS(tb_Cartao_Credito_Detalhado[[Mês 19]:[Mês 19]],tb_Cartao_Credito_Detalhado[Mês/Ano],OFFSET(U$4,0,-18)),
SUMIFS(tb_Cartao_Credito_Detalhado[[Mês 20]:[Mês 20]],tb_Cartao_Credito_Detalhado[Mês/Ano],OFFSET(U$4,0,-19)),
SUMIFS(tb_Cartao_Credito_Detalhado[[Mês 21]:[Mês 21]],tb_Cartao_Credito_Detalhado[Mês/Ano],OFFSET(U$4,0,-20)),
SUMIFS(tb_Cartao_Credito_Detalhado[[Mês 22]:[Mês 22]],tb_Cartao_Credito_Detalhado[Mês/Ano],OFFSET(U$4,0,-21)),
SUMIFS(tb_Cartao_Credito_Detalhado[[Mês 23]:[Mês 23]],tb_Cartao_Credito_Detalhado[Mês/Ano],OFFSET(U$4,0,-22)),
SUMIFS(tb_Cartao_Credito_Detalhado[[Mês 24]:[Mês 24]],tb_Cartao_Credito_Detalhado[Mês/Ano],OFFSET(U$4,0,-23)),
SUMIFS(tb_Cartao_Credito_Detalhado[[Mês 25]:[Mês 25]],tb_Cartao_Credito_Detalhado[Mês/Ano],OFFSET(U$4,0,-24)),
SUMIFS(tb_Cartao_Credito_Detalhado[[Mês 26]:[Mês 26]],tb_Cartao_Credito_Detalhado[Mês/Ano],OFFSET(U$4,0,-25)),
SUMIFS(tb_Cartao_Credito_Detalhado[[Mês 27]:[Mês 27]],tb_Cartao_Credito_Detalhado[Mês/Ano],OFFSET(U$4,0,-26)),
SUMIFS(tb_Cartao_Credito_Detalhado[[Mês 28]:[Mês 28]],tb_Cartao_Credito_Detalhado[Mês/Ano],OFFSET(U$4,0,-27)),
SUMIFS(tb_Cartao_Credito_Detalhado[[Mês 29]:[Mês 29]],tb_Cartao_Credito_Detalhado[Mês/Ano],OFFSET(U$4,0,-28)),
SUMIFS(tb_Cartao_Credito_Detalhado[[Mês 30]:[Mês 30]],tb_Cartao_Credito_Detalhado[Mês/Ano],OFFSET(U$4,0,-29)),
SUMIFS(tb_Cartao_Credito_Detalhado[[Mês 31]:[Mês 31]],tb_Cartao_Credito_Detalhado[Mês/Ano],OFFSET(U$4,0,-30)),
SUMIFS(tb_Cartao_Credito_Detalhado[[Mês 32]:[Mês 32]],tb_Cartao_Credito_Detalhado[Mês/Ano],OFFSET(U$4,0,-31)),
SUMIFS(tb_Cartao_Credito_Detalhado[[Mês 33]:[Mês 33]],tb_Cartao_Credito_Detalhado[Mês/Ano],OFFSET(U$4,0,-32)),
SUMIFS(tb_Cartao_Credito_Detalhado[[Mês 34]:[Mês 34]],tb_Cartao_Credito_Detalhado[Mês/Ano],OFFSET(U$4,0,-33)),
SUMIFS(tb_Cartao_Credito_Detalhado[[Mês 35]:[Mês 35]],tb_Cartao_Credito_Detalhado[Mês/Ano],OFFSET(U$4,0,-34)),
SUMIFS(tb_Cartao_Credito_Detalhado[[Mês 36]:[Mês 36]],tb_Cartao_Credito_Detalhado[Mês/Ano],OFFSET(U$4,0,-35)),
SUMIFS(tb_Cartao_Credito_Detalhado[[Mês 37]:[Mês 37]],tb_Cartao_Credito_Detalhado[Mês/Ano],OFFSET(U$4,0,-36)),
SUMIFS(tb_Cartao_Credito_Detalhado[[Mês 38]:[Mês 38]],tb_Cartao_Credito_Detalhado[Mês/Ano],OFFSET(U$4,0,-37)),
SUMIFS(tb_Cartao_Credito_Detalhado[[Mês 39]:[Mês 39]],tb_Cartao_Credito_Detalhado[Mês/Ano],OFFSET(U$4,0,-38)),
SUMIFS(tb_Cartao_Credito_Detalhado[[Mês 40]:[Mês 40]],tb_Cartao_Credito_Detalhado[Mês/Ano],OFFSET(U$4,0,-39)),
SUMIFS(tb_Cartao_Credito_Detalhado[[Mês 41]:[Mês 41]],tb_Cartao_Credito_Detalhado[Mês/Ano],OFFSET(U$4,0,-40)),
SUMIFS(tb_Cartao_Credito_Detalhado[[Mês 42]:[Mês 42]],tb_Cartao_Credito_Detalhado[Mês/Ano],OFFSET(U$4,0,-41)),
SUMIFS(tb_Cartao_Credito_Detalhado[[Mês 43]:[Mês 43]],tb_Cartao_Credito_Detalhado[Mês/Ano],OFFSET(U$4,0,-42)),
SUMIFS(tb_Cartao_Credito_Detalhado[[Mês 44]:[Mês 44]],tb_Cartao_Credito_Detalhado[Mês/Ano],OFFSET(U$4,0,-43)),
SUMIFS(tb_Cartao_Credito_Detalhado[[Mês 45]:[Mês 45]],tb_Cartao_Credito_Detalhado[Mês/Ano],OFFSET(U$4,0,-44)),
)</f>
        <v>133.33333333333334</v>
      </c>
      <c r="V5" s="28">
        <f ca="1">SUM(
SUMIFS(tb_Cartao_Credito_Detalhado[[Mês 1]:[Mês 1]],tb_Cartao_Credito_Detalhado[Mês/Ano],V$4),
SUMIFS(tb_Cartao_Credito_Detalhado[[Mês 2]:[Mês 2]],tb_Cartao_Credito_Detalhado[Mês/Ano],OFFSET(V$4,0,-1)),
SUMIFS(tb_Cartao_Credito_Detalhado[[Mês 3]:[Mês 3]],tb_Cartao_Credito_Detalhado[Mês/Ano],OFFSET(V$4,0,-2)),
SUMIFS(tb_Cartao_Credito_Detalhado[[Mês 4]:[Mês 4]],tb_Cartao_Credito_Detalhado[Mês/Ano],OFFSET(V$4,0,-3)),
SUMIFS(tb_Cartao_Credito_Detalhado[[Mês 5]:[Mês 5]],tb_Cartao_Credito_Detalhado[Mês/Ano],OFFSET(V$4,0,-4)),
SUMIFS(tb_Cartao_Credito_Detalhado[[Mês 6]:[Mês 6]],tb_Cartao_Credito_Detalhado[Mês/Ano],OFFSET(V$4,0,-5)),
SUMIFS(tb_Cartao_Credito_Detalhado[[Mês 7]:[Mês 7]],tb_Cartao_Credito_Detalhado[Mês/Ano],OFFSET(V$4,0,-6)),
SUMIFS(tb_Cartao_Credito_Detalhado[[Mês 8]:[Mês 8]],tb_Cartao_Credito_Detalhado[Mês/Ano],OFFSET(V$4,0,-7)),
SUMIFS(tb_Cartao_Credito_Detalhado[[Mês 9]:[Mês 9]],tb_Cartao_Credito_Detalhado[Mês/Ano],OFFSET(V$4,0,-8)),
SUMIFS(tb_Cartao_Credito_Detalhado[[Mês 10]:[Mês 10]],tb_Cartao_Credito_Detalhado[Mês/Ano],OFFSET(V$4,0,-9)),
SUMIFS(tb_Cartao_Credito_Detalhado[[Mês 11]:[Mês 11]],tb_Cartao_Credito_Detalhado[Mês/Ano],OFFSET(V$4,0,-10)),
SUMIFS(tb_Cartao_Credito_Detalhado[[Mês 12]:[Mês 12]],tb_Cartao_Credito_Detalhado[Mês/Ano],OFFSET(V$4,0,-11)),
SUMIFS(tb_Cartao_Credito_Detalhado[[Mês 13]:[Mês 13]],tb_Cartao_Credito_Detalhado[Mês/Ano],OFFSET(V$4,0,-12)),
SUMIFS(tb_Cartao_Credito_Detalhado[[Mês 14]:[Mês 14]],tb_Cartao_Credito_Detalhado[Mês/Ano],OFFSET(V$4,0,-13)),
SUMIFS(tb_Cartao_Credito_Detalhado[[Mês 15]:[Mês 15]],tb_Cartao_Credito_Detalhado[Mês/Ano],OFFSET(V$4,0,-14)),
SUMIFS(tb_Cartao_Credito_Detalhado[[Mês 16]:[Mês 16]],tb_Cartao_Credito_Detalhado[Mês/Ano],OFFSET(V$4,0,-15)),
SUMIFS(tb_Cartao_Credito_Detalhado[[Mês 17]:[Mês 17]],tb_Cartao_Credito_Detalhado[Mês/Ano],OFFSET(V$4,0,-16)),
SUMIFS(tb_Cartao_Credito_Detalhado[[Mês 18]:[Mês 18]],tb_Cartao_Credito_Detalhado[Mês/Ano],OFFSET(V$4,0,-17)),
SUMIFS(tb_Cartao_Credito_Detalhado[[Mês 19]:[Mês 19]],tb_Cartao_Credito_Detalhado[Mês/Ano],OFFSET(V$4,0,-18)),
SUMIFS(tb_Cartao_Credito_Detalhado[[Mês 20]:[Mês 20]],tb_Cartao_Credito_Detalhado[Mês/Ano],OFFSET(V$4,0,-19)),
SUMIFS(tb_Cartao_Credito_Detalhado[[Mês 21]:[Mês 21]],tb_Cartao_Credito_Detalhado[Mês/Ano],OFFSET(V$4,0,-20)),
SUMIFS(tb_Cartao_Credito_Detalhado[[Mês 22]:[Mês 22]],tb_Cartao_Credito_Detalhado[Mês/Ano],OFFSET(V$4,0,-21)),
SUMIFS(tb_Cartao_Credito_Detalhado[[Mês 23]:[Mês 23]],tb_Cartao_Credito_Detalhado[Mês/Ano],OFFSET(V$4,0,-22)),
SUMIFS(tb_Cartao_Credito_Detalhado[[Mês 24]:[Mês 24]],tb_Cartao_Credito_Detalhado[Mês/Ano],OFFSET(V$4,0,-23)),
SUMIFS(tb_Cartao_Credito_Detalhado[[Mês 25]:[Mês 25]],tb_Cartao_Credito_Detalhado[Mês/Ano],OFFSET(V$4,0,-24)),
SUMIFS(tb_Cartao_Credito_Detalhado[[Mês 26]:[Mês 26]],tb_Cartao_Credito_Detalhado[Mês/Ano],OFFSET(V$4,0,-25)),
SUMIFS(tb_Cartao_Credito_Detalhado[[Mês 27]:[Mês 27]],tb_Cartao_Credito_Detalhado[Mês/Ano],OFFSET(V$4,0,-26)),
SUMIFS(tb_Cartao_Credito_Detalhado[[Mês 28]:[Mês 28]],tb_Cartao_Credito_Detalhado[Mês/Ano],OFFSET(V$4,0,-27)),
SUMIFS(tb_Cartao_Credito_Detalhado[[Mês 29]:[Mês 29]],tb_Cartao_Credito_Detalhado[Mês/Ano],OFFSET(V$4,0,-28)),
SUMIFS(tb_Cartao_Credito_Detalhado[[Mês 30]:[Mês 30]],tb_Cartao_Credito_Detalhado[Mês/Ano],OFFSET(V$4,0,-29)),
SUMIFS(tb_Cartao_Credito_Detalhado[[Mês 31]:[Mês 31]],tb_Cartao_Credito_Detalhado[Mês/Ano],OFFSET(V$4,0,-30)),
SUMIFS(tb_Cartao_Credito_Detalhado[[Mês 32]:[Mês 32]],tb_Cartao_Credito_Detalhado[Mês/Ano],OFFSET(V$4,0,-31)),
SUMIFS(tb_Cartao_Credito_Detalhado[[Mês 33]:[Mês 33]],tb_Cartao_Credito_Detalhado[Mês/Ano],OFFSET(V$4,0,-32)),
SUMIFS(tb_Cartao_Credito_Detalhado[[Mês 34]:[Mês 34]],tb_Cartao_Credito_Detalhado[Mês/Ano],OFFSET(V$4,0,-33)),
SUMIFS(tb_Cartao_Credito_Detalhado[[Mês 35]:[Mês 35]],tb_Cartao_Credito_Detalhado[Mês/Ano],OFFSET(V$4,0,-34)),
SUMIFS(tb_Cartao_Credito_Detalhado[[Mês 36]:[Mês 36]],tb_Cartao_Credito_Detalhado[Mês/Ano],OFFSET(V$4,0,-35)),
SUMIFS(tb_Cartao_Credito_Detalhado[[Mês 37]:[Mês 37]],tb_Cartao_Credito_Detalhado[Mês/Ano],OFFSET(V$4,0,-36)),
SUMIFS(tb_Cartao_Credito_Detalhado[[Mês 38]:[Mês 38]],tb_Cartao_Credito_Detalhado[Mês/Ano],OFFSET(V$4,0,-37)),
SUMIFS(tb_Cartao_Credito_Detalhado[[Mês 39]:[Mês 39]],tb_Cartao_Credito_Detalhado[Mês/Ano],OFFSET(V$4,0,-38)),
SUMIFS(tb_Cartao_Credito_Detalhado[[Mês 40]:[Mês 40]],tb_Cartao_Credito_Detalhado[Mês/Ano],OFFSET(V$4,0,-39)),
SUMIFS(tb_Cartao_Credito_Detalhado[[Mês 41]:[Mês 41]],tb_Cartao_Credito_Detalhado[Mês/Ano],OFFSET(V$4,0,-40)),
SUMIFS(tb_Cartao_Credito_Detalhado[[Mês 42]:[Mês 42]],tb_Cartao_Credito_Detalhado[Mês/Ano],OFFSET(V$4,0,-41)),
SUMIFS(tb_Cartao_Credito_Detalhado[[Mês 43]:[Mês 43]],tb_Cartao_Credito_Detalhado[Mês/Ano],OFFSET(V$4,0,-42)),
SUMIFS(tb_Cartao_Credito_Detalhado[[Mês 44]:[Mês 44]],tb_Cartao_Credito_Detalhado[Mês/Ano],OFFSET(V$4,0,-43)),
SUMIFS(tb_Cartao_Credito_Detalhado[[Mês 45]:[Mês 45]],tb_Cartao_Credito_Detalhado[Mês/Ano],OFFSET(V$4,0,-44)),
)</f>
        <v>133.33333333333334</v>
      </c>
      <c r="W5" s="28">
        <f ca="1">SUM(
SUMIFS(tb_Cartao_Credito_Detalhado[[Mês 1]:[Mês 1]],tb_Cartao_Credito_Detalhado[Mês/Ano],W$4),
SUMIFS(tb_Cartao_Credito_Detalhado[[Mês 2]:[Mês 2]],tb_Cartao_Credito_Detalhado[Mês/Ano],OFFSET(W$4,0,-1)),
SUMIFS(tb_Cartao_Credito_Detalhado[[Mês 3]:[Mês 3]],tb_Cartao_Credito_Detalhado[Mês/Ano],OFFSET(W$4,0,-2)),
SUMIFS(tb_Cartao_Credito_Detalhado[[Mês 4]:[Mês 4]],tb_Cartao_Credito_Detalhado[Mês/Ano],OFFSET(W$4,0,-3)),
SUMIFS(tb_Cartao_Credito_Detalhado[[Mês 5]:[Mês 5]],tb_Cartao_Credito_Detalhado[Mês/Ano],OFFSET(W$4,0,-4)),
SUMIFS(tb_Cartao_Credito_Detalhado[[Mês 6]:[Mês 6]],tb_Cartao_Credito_Detalhado[Mês/Ano],OFFSET(W$4,0,-5)),
SUMIFS(tb_Cartao_Credito_Detalhado[[Mês 7]:[Mês 7]],tb_Cartao_Credito_Detalhado[Mês/Ano],OFFSET(W$4,0,-6)),
SUMIFS(tb_Cartao_Credito_Detalhado[[Mês 8]:[Mês 8]],tb_Cartao_Credito_Detalhado[Mês/Ano],OFFSET(W$4,0,-7)),
SUMIFS(tb_Cartao_Credito_Detalhado[[Mês 9]:[Mês 9]],tb_Cartao_Credito_Detalhado[Mês/Ano],OFFSET(W$4,0,-8)),
SUMIFS(tb_Cartao_Credito_Detalhado[[Mês 10]:[Mês 10]],tb_Cartao_Credito_Detalhado[Mês/Ano],OFFSET(W$4,0,-9)),
SUMIFS(tb_Cartao_Credito_Detalhado[[Mês 11]:[Mês 11]],tb_Cartao_Credito_Detalhado[Mês/Ano],OFFSET(W$4,0,-10)),
SUMIFS(tb_Cartao_Credito_Detalhado[[Mês 12]:[Mês 12]],tb_Cartao_Credito_Detalhado[Mês/Ano],OFFSET(W$4,0,-11)),
SUMIFS(tb_Cartao_Credito_Detalhado[[Mês 13]:[Mês 13]],tb_Cartao_Credito_Detalhado[Mês/Ano],OFFSET(W$4,0,-12)),
SUMIFS(tb_Cartao_Credito_Detalhado[[Mês 14]:[Mês 14]],tb_Cartao_Credito_Detalhado[Mês/Ano],OFFSET(W$4,0,-13)),
SUMIFS(tb_Cartao_Credito_Detalhado[[Mês 15]:[Mês 15]],tb_Cartao_Credito_Detalhado[Mês/Ano],OFFSET(W$4,0,-14)),
SUMIFS(tb_Cartao_Credito_Detalhado[[Mês 16]:[Mês 16]],tb_Cartao_Credito_Detalhado[Mês/Ano],OFFSET(W$4,0,-15)),
SUMIFS(tb_Cartao_Credito_Detalhado[[Mês 17]:[Mês 17]],tb_Cartao_Credito_Detalhado[Mês/Ano],OFFSET(W$4,0,-16)),
SUMIFS(tb_Cartao_Credito_Detalhado[[Mês 18]:[Mês 18]],tb_Cartao_Credito_Detalhado[Mês/Ano],OFFSET(W$4,0,-17)),
SUMIFS(tb_Cartao_Credito_Detalhado[[Mês 19]:[Mês 19]],tb_Cartao_Credito_Detalhado[Mês/Ano],OFFSET(W$4,0,-18)),
SUMIFS(tb_Cartao_Credito_Detalhado[[Mês 20]:[Mês 20]],tb_Cartao_Credito_Detalhado[Mês/Ano],OFFSET(W$4,0,-19)),
SUMIFS(tb_Cartao_Credito_Detalhado[[Mês 21]:[Mês 21]],tb_Cartao_Credito_Detalhado[Mês/Ano],OFFSET(W$4,0,-20)),
SUMIFS(tb_Cartao_Credito_Detalhado[[Mês 22]:[Mês 22]],tb_Cartao_Credito_Detalhado[Mês/Ano],OFFSET(W$4,0,-21)),
SUMIFS(tb_Cartao_Credito_Detalhado[[Mês 23]:[Mês 23]],tb_Cartao_Credito_Detalhado[Mês/Ano],OFFSET(W$4,0,-22)),
SUMIFS(tb_Cartao_Credito_Detalhado[[Mês 24]:[Mês 24]],tb_Cartao_Credito_Detalhado[Mês/Ano],OFFSET(W$4,0,-23)),
SUMIFS(tb_Cartao_Credito_Detalhado[[Mês 25]:[Mês 25]],tb_Cartao_Credito_Detalhado[Mês/Ano],OFFSET(W$4,0,-24)),
SUMIFS(tb_Cartao_Credito_Detalhado[[Mês 26]:[Mês 26]],tb_Cartao_Credito_Detalhado[Mês/Ano],OFFSET(W$4,0,-25)),
SUMIFS(tb_Cartao_Credito_Detalhado[[Mês 27]:[Mês 27]],tb_Cartao_Credito_Detalhado[Mês/Ano],OFFSET(W$4,0,-26)),
SUMIFS(tb_Cartao_Credito_Detalhado[[Mês 28]:[Mês 28]],tb_Cartao_Credito_Detalhado[Mês/Ano],OFFSET(W$4,0,-27)),
SUMIFS(tb_Cartao_Credito_Detalhado[[Mês 29]:[Mês 29]],tb_Cartao_Credito_Detalhado[Mês/Ano],OFFSET(W$4,0,-28)),
SUMIFS(tb_Cartao_Credito_Detalhado[[Mês 30]:[Mês 30]],tb_Cartao_Credito_Detalhado[Mês/Ano],OFFSET(W$4,0,-29)),
SUMIFS(tb_Cartao_Credito_Detalhado[[Mês 31]:[Mês 31]],tb_Cartao_Credito_Detalhado[Mês/Ano],OFFSET(W$4,0,-30)),
SUMIFS(tb_Cartao_Credito_Detalhado[[Mês 32]:[Mês 32]],tb_Cartao_Credito_Detalhado[Mês/Ano],OFFSET(W$4,0,-31)),
SUMIFS(tb_Cartao_Credito_Detalhado[[Mês 33]:[Mês 33]],tb_Cartao_Credito_Detalhado[Mês/Ano],OFFSET(W$4,0,-32)),
SUMIFS(tb_Cartao_Credito_Detalhado[[Mês 34]:[Mês 34]],tb_Cartao_Credito_Detalhado[Mês/Ano],OFFSET(W$4,0,-33)),
SUMIFS(tb_Cartao_Credito_Detalhado[[Mês 35]:[Mês 35]],tb_Cartao_Credito_Detalhado[Mês/Ano],OFFSET(W$4,0,-34)),
SUMIFS(tb_Cartao_Credito_Detalhado[[Mês 36]:[Mês 36]],tb_Cartao_Credito_Detalhado[Mês/Ano],OFFSET(W$4,0,-35)),
SUMIFS(tb_Cartao_Credito_Detalhado[[Mês 37]:[Mês 37]],tb_Cartao_Credito_Detalhado[Mês/Ano],OFFSET(W$4,0,-36)),
SUMIFS(tb_Cartao_Credito_Detalhado[[Mês 38]:[Mês 38]],tb_Cartao_Credito_Detalhado[Mês/Ano],OFFSET(W$4,0,-37)),
SUMIFS(tb_Cartao_Credito_Detalhado[[Mês 39]:[Mês 39]],tb_Cartao_Credito_Detalhado[Mês/Ano],OFFSET(W$4,0,-38)),
SUMIFS(tb_Cartao_Credito_Detalhado[[Mês 40]:[Mês 40]],tb_Cartao_Credito_Detalhado[Mês/Ano],OFFSET(W$4,0,-39)),
SUMIFS(tb_Cartao_Credito_Detalhado[[Mês 41]:[Mês 41]],tb_Cartao_Credito_Detalhado[Mês/Ano],OFFSET(W$4,0,-40)),
SUMIFS(tb_Cartao_Credito_Detalhado[[Mês 42]:[Mês 42]],tb_Cartao_Credito_Detalhado[Mês/Ano],OFFSET(W$4,0,-41)),
SUMIFS(tb_Cartao_Credito_Detalhado[[Mês 43]:[Mês 43]],tb_Cartao_Credito_Detalhado[Mês/Ano],OFFSET(W$4,0,-42)),
SUMIFS(tb_Cartao_Credito_Detalhado[[Mês 44]:[Mês 44]],tb_Cartao_Credito_Detalhado[Mês/Ano],OFFSET(W$4,0,-43)),
SUMIFS(tb_Cartao_Credito_Detalhado[[Mês 45]:[Mês 45]],tb_Cartao_Credito_Detalhado[Mês/Ano],OFFSET(W$4,0,-44)),
)</f>
        <v>133.33333333333334</v>
      </c>
      <c r="X5" s="28">
        <f ca="1">SUM(
SUMIFS(tb_Cartao_Credito_Detalhado[[Mês 1]:[Mês 1]],tb_Cartao_Credito_Detalhado[Mês/Ano],X$4),
SUMIFS(tb_Cartao_Credito_Detalhado[[Mês 2]:[Mês 2]],tb_Cartao_Credito_Detalhado[Mês/Ano],OFFSET(X$4,0,-1)),
SUMIFS(tb_Cartao_Credito_Detalhado[[Mês 3]:[Mês 3]],tb_Cartao_Credito_Detalhado[Mês/Ano],OFFSET(X$4,0,-2)),
SUMIFS(tb_Cartao_Credito_Detalhado[[Mês 4]:[Mês 4]],tb_Cartao_Credito_Detalhado[Mês/Ano],OFFSET(X$4,0,-3)),
SUMIFS(tb_Cartao_Credito_Detalhado[[Mês 5]:[Mês 5]],tb_Cartao_Credito_Detalhado[Mês/Ano],OFFSET(X$4,0,-4)),
SUMIFS(tb_Cartao_Credito_Detalhado[[Mês 6]:[Mês 6]],tb_Cartao_Credito_Detalhado[Mês/Ano],OFFSET(X$4,0,-5)),
SUMIFS(tb_Cartao_Credito_Detalhado[[Mês 7]:[Mês 7]],tb_Cartao_Credito_Detalhado[Mês/Ano],OFFSET(X$4,0,-6)),
SUMIFS(tb_Cartao_Credito_Detalhado[[Mês 8]:[Mês 8]],tb_Cartao_Credito_Detalhado[Mês/Ano],OFFSET(X$4,0,-7)),
SUMIFS(tb_Cartao_Credito_Detalhado[[Mês 9]:[Mês 9]],tb_Cartao_Credito_Detalhado[Mês/Ano],OFFSET(X$4,0,-8)),
SUMIFS(tb_Cartao_Credito_Detalhado[[Mês 10]:[Mês 10]],tb_Cartao_Credito_Detalhado[Mês/Ano],OFFSET(X$4,0,-9)),
SUMIFS(tb_Cartao_Credito_Detalhado[[Mês 11]:[Mês 11]],tb_Cartao_Credito_Detalhado[Mês/Ano],OFFSET(X$4,0,-10)),
SUMIFS(tb_Cartao_Credito_Detalhado[[Mês 12]:[Mês 12]],tb_Cartao_Credito_Detalhado[Mês/Ano],OFFSET(X$4,0,-11)),
SUMIFS(tb_Cartao_Credito_Detalhado[[Mês 13]:[Mês 13]],tb_Cartao_Credito_Detalhado[Mês/Ano],OFFSET(X$4,0,-12)),
SUMIFS(tb_Cartao_Credito_Detalhado[[Mês 14]:[Mês 14]],tb_Cartao_Credito_Detalhado[Mês/Ano],OFFSET(X$4,0,-13)),
SUMIFS(tb_Cartao_Credito_Detalhado[[Mês 15]:[Mês 15]],tb_Cartao_Credito_Detalhado[Mês/Ano],OFFSET(X$4,0,-14)),
SUMIFS(tb_Cartao_Credito_Detalhado[[Mês 16]:[Mês 16]],tb_Cartao_Credito_Detalhado[Mês/Ano],OFFSET(X$4,0,-15)),
SUMIFS(tb_Cartao_Credito_Detalhado[[Mês 17]:[Mês 17]],tb_Cartao_Credito_Detalhado[Mês/Ano],OFFSET(X$4,0,-16)),
SUMIFS(tb_Cartao_Credito_Detalhado[[Mês 18]:[Mês 18]],tb_Cartao_Credito_Detalhado[Mês/Ano],OFFSET(X$4,0,-17)),
SUMIFS(tb_Cartao_Credito_Detalhado[[Mês 19]:[Mês 19]],tb_Cartao_Credito_Detalhado[Mês/Ano],OFFSET(X$4,0,-18)),
SUMIFS(tb_Cartao_Credito_Detalhado[[Mês 20]:[Mês 20]],tb_Cartao_Credito_Detalhado[Mês/Ano],OFFSET(X$4,0,-19)),
SUMIFS(tb_Cartao_Credito_Detalhado[[Mês 21]:[Mês 21]],tb_Cartao_Credito_Detalhado[Mês/Ano],OFFSET(X$4,0,-20)),
SUMIFS(tb_Cartao_Credito_Detalhado[[Mês 22]:[Mês 22]],tb_Cartao_Credito_Detalhado[Mês/Ano],OFFSET(X$4,0,-21)),
SUMIFS(tb_Cartao_Credito_Detalhado[[Mês 23]:[Mês 23]],tb_Cartao_Credito_Detalhado[Mês/Ano],OFFSET(X$4,0,-22)),
SUMIFS(tb_Cartao_Credito_Detalhado[[Mês 24]:[Mês 24]],tb_Cartao_Credito_Detalhado[Mês/Ano],OFFSET(X$4,0,-23)),
SUMIFS(tb_Cartao_Credito_Detalhado[[Mês 25]:[Mês 25]],tb_Cartao_Credito_Detalhado[Mês/Ano],OFFSET(X$4,0,-24)),
SUMIFS(tb_Cartao_Credito_Detalhado[[Mês 26]:[Mês 26]],tb_Cartao_Credito_Detalhado[Mês/Ano],OFFSET(X$4,0,-25)),
SUMIFS(tb_Cartao_Credito_Detalhado[[Mês 27]:[Mês 27]],tb_Cartao_Credito_Detalhado[Mês/Ano],OFFSET(X$4,0,-26)),
SUMIFS(tb_Cartao_Credito_Detalhado[[Mês 28]:[Mês 28]],tb_Cartao_Credito_Detalhado[Mês/Ano],OFFSET(X$4,0,-27)),
SUMIFS(tb_Cartao_Credito_Detalhado[[Mês 29]:[Mês 29]],tb_Cartao_Credito_Detalhado[Mês/Ano],OFFSET(X$4,0,-28)),
SUMIFS(tb_Cartao_Credito_Detalhado[[Mês 30]:[Mês 30]],tb_Cartao_Credito_Detalhado[Mês/Ano],OFFSET(X$4,0,-29)),
SUMIFS(tb_Cartao_Credito_Detalhado[[Mês 31]:[Mês 31]],tb_Cartao_Credito_Detalhado[Mês/Ano],OFFSET(X$4,0,-30)),
SUMIFS(tb_Cartao_Credito_Detalhado[[Mês 32]:[Mês 32]],tb_Cartao_Credito_Detalhado[Mês/Ano],OFFSET(X$4,0,-31)),
SUMIFS(tb_Cartao_Credito_Detalhado[[Mês 33]:[Mês 33]],tb_Cartao_Credito_Detalhado[Mês/Ano],OFFSET(X$4,0,-32)),
SUMIFS(tb_Cartao_Credito_Detalhado[[Mês 34]:[Mês 34]],tb_Cartao_Credito_Detalhado[Mês/Ano],OFFSET(X$4,0,-33)),
SUMIFS(tb_Cartao_Credito_Detalhado[[Mês 35]:[Mês 35]],tb_Cartao_Credito_Detalhado[Mês/Ano],OFFSET(X$4,0,-34)),
SUMIFS(tb_Cartao_Credito_Detalhado[[Mês 36]:[Mês 36]],tb_Cartao_Credito_Detalhado[Mês/Ano],OFFSET(X$4,0,-35)),
SUMIFS(tb_Cartao_Credito_Detalhado[[Mês 37]:[Mês 37]],tb_Cartao_Credito_Detalhado[Mês/Ano],OFFSET(X$4,0,-36)),
SUMIFS(tb_Cartao_Credito_Detalhado[[Mês 38]:[Mês 38]],tb_Cartao_Credito_Detalhado[Mês/Ano],OFFSET(X$4,0,-37)),
SUMIFS(tb_Cartao_Credito_Detalhado[[Mês 39]:[Mês 39]],tb_Cartao_Credito_Detalhado[Mês/Ano],OFFSET(X$4,0,-38)),
SUMIFS(tb_Cartao_Credito_Detalhado[[Mês 40]:[Mês 40]],tb_Cartao_Credito_Detalhado[Mês/Ano],OFFSET(X$4,0,-39)),
SUMIFS(tb_Cartao_Credito_Detalhado[[Mês 41]:[Mês 41]],tb_Cartao_Credito_Detalhado[Mês/Ano],OFFSET(X$4,0,-40)),
SUMIFS(tb_Cartao_Credito_Detalhado[[Mês 42]:[Mês 42]],tb_Cartao_Credito_Detalhado[Mês/Ano],OFFSET(X$4,0,-41)),
SUMIFS(tb_Cartao_Credito_Detalhado[[Mês 43]:[Mês 43]],tb_Cartao_Credito_Detalhado[Mês/Ano],OFFSET(X$4,0,-42)),
SUMIFS(tb_Cartao_Credito_Detalhado[[Mês 44]:[Mês 44]],tb_Cartao_Credito_Detalhado[Mês/Ano],OFFSET(X$4,0,-43)),
SUMIFS(tb_Cartao_Credito_Detalhado[[Mês 45]:[Mês 45]],tb_Cartao_Credito_Detalhado[Mês/Ano],OFFSET(X$4,0,-44)),
)</f>
        <v>133.33333333333334</v>
      </c>
      <c r="Y5" s="28">
        <f ca="1">SUM(
SUMIFS(tb_Cartao_Credito_Detalhado[[Mês 1]:[Mês 1]],tb_Cartao_Credito_Detalhado[Mês/Ano],Y$4),
SUMIFS(tb_Cartao_Credito_Detalhado[[Mês 2]:[Mês 2]],tb_Cartao_Credito_Detalhado[Mês/Ano],OFFSET(Y$4,0,-1)),
SUMIFS(tb_Cartao_Credito_Detalhado[[Mês 3]:[Mês 3]],tb_Cartao_Credito_Detalhado[Mês/Ano],OFFSET(Y$4,0,-2)),
SUMIFS(tb_Cartao_Credito_Detalhado[[Mês 4]:[Mês 4]],tb_Cartao_Credito_Detalhado[Mês/Ano],OFFSET(Y$4,0,-3)),
SUMIFS(tb_Cartao_Credito_Detalhado[[Mês 5]:[Mês 5]],tb_Cartao_Credito_Detalhado[Mês/Ano],OFFSET(Y$4,0,-4)),
SUMIFS(tb_Cartao_Credito_Detalhado[[Mês 6]:[Mês 6]],tb_Cartao_Credito_Detalhado[Mês/Ano],OFFSET(Y$4,0,-5)),
SUMIFS(tb_Cartao_Credito_Detalhado[[Mês 7]:[Mês 7]],tb_Cartao_Credito_Detalhado[Mês/Ano],OFFSET(Y$4,0,-6)),
SUMIFS(tb_Cartao_Credito_Detalhado[[Mês 8]:[Mês 8]],tb_Cartao_Credito_Detalhado[Mês/Ano],OFFSET(Y$4,0,-7)),
SUMIFS(tb_Cartao_Credito_Detalhado[[Mês 9]:[Mês 9]],tb_Cartao_Credito_Detalhado[Mês/Ano],OFFSET(Y$4,0,-8)),
SUMIFS(tb_Cartao_Credito_Detalhado[[Mês 10]:[Mês 10]],tb_Cartao_Credito_Detalhado[Mês/Ano],OFFSET(Y$4,0,-9)),
SUMIFS(tb_Cartao_Credito_Detalhado[[Mês 11]:[Mês 11]],tb_Cartao_Credito_Detalhado[Mês/Ano],OFFSET(Y$4,0,-10)),
SUMIFS(tb_Cartao_Credito_Detalhado[[Mês 12]:[Mês 12]],tb_Cartao_Credito_Detalhado[Mês/Ano],OFFSET(Y$4,0,-11)),
SUMIFS(tb_Cartao_Credito_Detalhado[[Mês 13]:[Mês 13]],tb_Cartao_Credito_Detalhado[Mês/Ano],OFFSET(Y$4,0,-12)),
SUMIFS(tb_Cartao_Credito_Detalhado[[Mês 14]:[Mês 14]],tb_Cartao_Credito_Detalhado[Mês/Ano],OFFSET(Y$4,0,-13)),
SUMIFS(tb_Cartao_Credito_Detalhado[[Mês 15]:[Mês 15]],tb_Cartao_Credito_Detalhado[Mês/Ano],OFFSET(Y$4,0,-14)),
SUMIFS(tb_Cartao_Credito_Detalhado[[Mês 16]:[Mês 16]],tb_Cartao_Credito_Detalhado[Mês/Ano],OFFSET(Y$4,0,-15)),
SUMIFS(tb_Cartao_Credito_Detalhado[[Mês 17]:[Mês 17]],tb_Cartao_Credito_Detalhado[Mês/Ano],OFFSET(Y$4,0,-16)),
SUMIFS(tb_Cartao_Credito_Detalhado[[Mês 18]:[Mês 18]],tb_Cartao_Credito_Detalhado[Mês/Ano],OFFSET(Y$4,0,-17)),
SUMIFS(tb_Cartao_Credito_Detalhado[[Mês 19]:[Mês 19]],tb_Cartao_Credito_Detalhado[Mês/Ano],OFFSET(Y$4,0,-18)),
SUMIFS(tb_Cartao_Credito_Detalhado[[Mês 20]:[Mês 20]],tb_Cartao_Credito_Detalhado[Mês/Ano],OFFSET(Y$4,0,-19)),
SUMIFS(tb_Cartao_Credito_Detalhado[[Mês 21]:[Mês 21]],tb_Cartao_Credito_Detalhado[Mês/Ano],OFFSET(Y$4,0,-20)),
SUMIFS(tb_Cartao_Credito_Detalhado[[Mês 22]:[Mês 22]],tb_Cartao_Credito_Detalhado[Mês/Ano],OFFSET(Y$4,0,-21)),
SUMIFS(tb_Cartao_Credito_Detalhado[[Mês 23]:[Mês 23]],tb_Cartao_Credito_Detalhado[Mês/Ano],OFFSET(Y$4,0,-22)),
SUMIFS(tb_Cartao_Credito_Detalhado[[Mês 24]:[Mês 24]],tb_Cartao_Credito_Detalhado[Mês/Ano],OFFSET(Y$4,0,-23)),
SUMIFS(tb_Cartao_Credito_Detalhado[[Mês 25]:[Mês 25]],tb_Cartao_Credito_Detalhado[Mês/Ano],OFFSET(Y$4,0,-24)),
SUMIFS(tb_Cartao_Credito_Detalhado[[Mês 26]:[Mês 26]],tb_Cartao_Credito_Detalhado[Mês/Ano],OFFSET(Y$4,0,-25)),
SUMIFS(tb_Cartao_Credito_Detalhado[[Mês 27]:[Mês 27]],tb_Cartao_Credito_Detalhado[Mês/Ano],OFFSET(Y$4,0,-26)),
SUMIFS(tb_Cartao_Credito_Detalhado[[Mês 28]:[Mês 28]],tb_Cartao_Credito_Detalhado[Mês/Ano],OFFSET(Y$4,0,-27)),
SUMIFS(tb_Cartao_Credito_Detalhado[[Mês 29]:[Mês 29]],tb_Cartao_Credito_Detalhado[Mês/Ano],OFFSET(Y$4,0,-28)),
SUMIFS(tb_Cartao_Credito_Detalhado[[Mês 30]:[Mês 30]],tb_Cartao_Credito_Detalhado[Mês/Ano],OFFSET(Y$4,0,-29)),
SUMIFS(tb_Cartao_Credito_Detalhado[[Mês 31]:[Mês 31]],tb_Cartao_Credito_Detalhado[Mês/Ano],OFFSET(Y$4,0,-30)),
SUMIFS(tb_Cartao_Credito_Detalhado[[Mês 32]:[Mês 32]],tb_Cartao_Credito_Detalhado[Mês/Ano],OFFSET(Y$4,0,-31)),
SUMIFS(tb_Cartao_Credito_Detalhado[[Mês 33]:[Mês 33]],tb_Cartao_Credito_Detalhado[Mês/Ano],OFFSET(Y$4,0,-32)),
SUMIFS(tb_Cartao_Credito_Detalhado[[Mês 34]:[Mês 34]],tb_Cartao_Credito_Detalhado[Mês/Ano],OFFSET(Y$4,0,-33)),
SUMIFS(tb_Cartao_Credito_Detalhado[[Mês 35]:[Mês 35]],tb_Cartao_Credito_Detalhado[Mês/Ano],OFFSET(Y$4,0,-34)),
SUMIFS(tb_Cartao_Credito_Detalhado[[Mês 36]:[Mês 36]],tb_Cartao_Credito_Detalhado[Mês/Ano],OFFSET(Y$4,0,-35)),
SUMIFS(tb_Cartao_Credito_Detalhado[[Mês 37]:[Mês 37]],tb_Cartao_Credito_Detalhado[Mês/Ano],OFFSET(Y$4,0,-36)),
SUMIFS(tb_Cartao_Credito_Detalhado[[Mês 38]:[Mês 38]],tb_Cartao_Credito_Detalhado[Mês/Ano],OFFSET(Y$4,0,-37)),
SUMIFS(tb_Cartao_Credito_Detalhado[[Mês 39]:[Mês 39]],tb_Cartao_Credito_Detalhado[Mês/Ano],OFFSET(Y$4,0,-38)),
SUMIFS(tb_Cartao_Credito_Detalhado[[Mês 40]:[Mês 40]],tb_Cartao_Credito_Detalhado[Mês/Ano],OFFSET(Y$4,0,-39)),
SUMIFS(tb_Cartao_Credito_Detalhado[[Mês 41]:[Mês 41]],tb_Cartao_Credito_Detalhado[Mês/Ano],OFFSET(Y$4,0,-40)),
SUMIFS(tb_Cartao_Credito_Detalhado[[Mês 42]:[Mês 42]],tb_Cartao_Credito_Detalhado[Mês/Ano],OFFSET(Y$4,0,-41)),
SUMIFS(tb_Cartao_Credito_Detalhado[[Mês 43]:[Mês 43]],tb_Cartao_Credito_Detalhado[Mês/Ano],OFFSET(Y$4,0,-42)),
SUMIFS(tb_Cartao_Credito_Detalhado[[Mês 44]:[Mês 44]],tb_Cartao_Credito_Detalhado[Mês/Ano],OFFSET(Y$4,0,-43)),
SUMIFS(tb_Cartao_Credito_Detalhado[[Mês 45]:[Mês 45]],tb_Cartao_Credito_Detalhado[Mês/Ano],OFFSET(Y$4,0,-44)),
)</f>
        <v>133.33333333333334</v>
      </c>
      <c r="Z5" s="28">
        <f ca="1">SUM(
SUMIFS(tb_Cartao_Credito_Detalhado[[Mês 1]:[Mês 1]],tb_Cartao_Credito_Detalhado[Mês/Ano],Z$4),
SUMIFS(tb_Cartao_Credito_Detalhado[[Mês 2]:[Mês 2]],tb_Cartao_Credito_Detalhado[Mês/Ano],OFFSET(Z$4,0,-1)),
SUMIFS(tb_Cartao_Credito_Detalhado[[Mês 3]:[Mês 3]],tb_Cartao_Credito_Detalhado[Mês/Ano],OFFSET(Z$4,0,-2)),
SUMIFS(tb_Cartao_Credito_Detalhado[[Mês 4]:[Mês 4]],tb_Cartao_Credito_Detalhado[Mês/Ano],OFFSET(Z$4,0,-3)),
SUMIFS(tb_Cartao_Credito_Detalhado[[Mês 5]:[Mês 5]],tb_Cartao_Credito_Detalhado[Mês/Ano],OFFSET(Z$4,0,-4)),
SUMIFS(tb_Cartao_Credito_Detalhado[[Mês 6]:[Mês 6]],tb_Cartao_Credito_Detalhado[Mês/Ano],OFFSET(Z$4,0,-5)),
SUMIFS(tb_Cartao_Credito_Detalhado[[Mês 7]:[Mês 7]],tb_Cartao_Credito_Detalhado[Mês/Ano],OFFSET(Z$4,0,-6)),
SUMIFS(tb_Cartao_Credito_Detalhado[[Mês 8]:[Mês 8]],tb_Cartao_Credito_Detalhado[Mês/Ano],OFFSET(Z$4,0,-7)),
SUMIFS(tb_Cartao_Credito_Detalhado[[Mês 9]:[Mês 9]],tb_Cartao_Credito_Detalhado[Mês/Ano],OFFSET(Z$4,0,-8)),
SUMIFS(tb_Cartao_Credito_Detalhado[[Mês 10]:[Mês 10]],tb_Cartao_Credito_Detalhado[Mês/Ano],OFFSET(Z$4,0,-9)),
SUMIFS(tb_Cartao_Credito_Detalhado[[Mês 11]:[Mês 11]],tb_Cartao_Credito_Detalhado[Mês/Ano],OFFSET(Z$4,0,-10)),
SUMIFS(tb_Cartao_Credito_Detalhado[[Mês 12]:[Mês 12]],tb_Cartao_Credito_Detalhado[Mês/Ano],OFFSET(Z$4,0,-11)),
SUMIFS(tb_Cartao_Credito_Detalhado[[Mês 13]:[Mês 13]],tb_Cartao_Credito_Detalhado[Mês/Ano],OFFSET(Z$4,0,-12)),
SUMIFS(tb_Cartao_Credito_Detalhado[[Mês 14]:[Mês 14]],tb_Cartao_Credito_Detalhado[Mês/Ano],OFFSET(Z$4,0,-13)),
SUMIFS(tb_Cartao_Credito_Detalhado[[Mês 15]:[Mês 15]],tb_Cartao_Credito_Detalhado[Mês/Ano],OFFSET(Z$4,0,-14)),
SUMIFS(tb_Cartao_Credito_Detalhado[[Mês 16]:[Mês 16]],tb_Cartao_Credito_Detalhado[Mês/Ano],OFFSET(Z$4,0,-15)),
SUMIFS(tb_Cartao_Credito_Detalhado[[Mês 17]:[Mês 17]],tb_Cartao_Credito_Detalhado[Mês/Ano],OFFSET(Z$4,0,-16)),
SUMIFS(tb_Cartao_Credito_Detalhado[[Mês 18]:[Mês 18]],tb_Cartao_Credito_Detalhado[Mês/Ano],OFFSET(Z$4,0,-17)),
SUMIFS(tb_Cartao_Credito_Detalhado[[Mês 19]:[Mês 19]],tb_Cartao_Credito_Detalhado[Mês/Ano],OFFSET(Z$4,0,-18)),
SUMIFS(tb_Cartao_Credito_Detalhado[[Mês 20]:[Mês 20]],tb_Cartao_Credito_Detalhado[Mês/Ano],OFFSET(Z$4,0,-19)),
SUMIFS(tb_Cartao_Credito_Detalhado[[Mês 21]:[Mês 21]],tb_Cartao_Credito_Detalhado[Mês/Ano],OFFSET(Z$4,0,-20)),
SUMIFS(tb_Cartao_Credito_Detalhado[[Mês 22]:[Mês 22]],tb_Cartao_Credito_Detalhado[Mês/Ano],OFFSET(Z$4,0,-21)),
SUMIFS(tb_Cartao_Credito_Detalhado[[Mês 23]:[Mês 23]],tb_Cartao_Credito_Detalhado[Mês/Ano],OFFSET(Z$4,0,-22)),
SUMIFS(tb_Cartao_Credito_Detalhado[[Mês 24]:[Mês 24]],tb_Cartao_Credito_Detalhado[Mês/Ano],OFFSET(Z$4,0,-23)),
SUMIFS(tb_Cartao_Credito_Detalhado[[Mês 25]:[Mês 25]],tb_Cartao_Credito_Detalhado[Mês/Ano],OFFSET(Z$4,0,-24)),
SUMIFS(tb_Cartao_Credito_Detalhado[[Mês 26]:[Mês 26]],tb_Cartao_Credito_Detalhado[Mês/Ano],OFFSET(Z$4,0,-25)),
SUMIFS(tb_Cartao_Credito_Detalhado[[Mês 27]:[Mês 27]],tb_Cartao_Credito_Detalhado[Mês/Ano],OFFSET(Z$4,0,-26)),
SUMIFS(tb_Cartao_Credito_Detalhado[[Mês 28]:[Mês 28]],tb_Cartao_Credito_Detalhado[Mês/Ano],OFFSET(Z$4,0,-27)),
SUMIFS(tb_Cartao_Credito_Detalhado[[Mês 29]:[Mês 29]],tb_Cartao_Credito_Detalhado[Mês/Ano],OFFSET(Z$4,0,-28)),
SUMIFS(tb_Cartao_Credito_Detalhado[[Mês 30]:[Mês 30]],tb_Cartao_Credito_Detalhado[Mês/Ano],OFFSET(Z$4,0,-29)),
SUMIFS(tb_Cartao_Credito_Detalhado[[Mês 31]:[Mês 31]],tb_Cartao_Credito_Detalhado[Mês/Ano],OFFSET(Z$4,0,-30)),
SUMIFS(tb_Cartao_Credito_Detalhado[[Mês 32]:[Mês 32]],tb_Cartao_Credito_Detalhado[Mês/Ano],OFFSET(Z$4,0,-31)),
SUMIFS(tb_Cartao_Credito_Detalhado[[Mês 33]:[Mês 33]],tb_Cartao_Credito_Detalhado[Mês/Ano],OFFSET(Z$4,0,-32)),
SUMIFS(tb_Cartao_Credito_Detalhado[[Mês 34]:[Mês 34]],tb_Cartao_Credito_Detalhado[Mês/Ano],OFFSET(Z$4,0,-33)),
SUMIFS(tb_Cartao_Credito_Detalhado[[Mês 35]:[Mês 35]],tb_Cartao_Credito_Detalhado[Mês/Ano],OFFSET(Z$4,0,-34)),
SUMIFS(tb_Cartao_Credito_Detalhado[[Mês 36]:[Mês 36]],tb_Cartao_Credito_Detalhado[Mês/Ano],OFFSET(Z$4,0,-35)),
SUMIFS(tb_Cartao_Credito_Detalhado[[Mês 37]:[Mês 37]],tb_Cartao_Credito_Detalhado[Mês/Ano],OFFSET(Z$4,0,-36)),
SUMIFS(tb_Cartao_Credito_Detalhado[[Mês 38]:[Mês 38]],tb_Cartao_Credito_Detalhado[Mês/Ano],OFFSET(Z$4,0,-37)),
SUMIFS(tb_Cartao_Credito_Detalhado[[Mês 39]:[Mês 39]],tb_Cartao_Credito_Detalhado[Mês/Ano],OFFSET(Z$4,0,-38)),
SUMIFS(tb_Cartao_Credito_Detalhado[[Mês 40]:[Mês 40]],tb_Cartao_Credito_Detalhado[Mês/Ano],OFFSET(Z$4,0,-39)),
SUMIFS(tb_Cartao_Credito_Detalhado[[Mês 41]:[Mês 41]],tb_Cartao_Credito_Detalhado[Mês/Ano],OFFSET(Z$4,0,-40)),
SUMIFS(tb_Cartao_Credito_Detalhado[[Mês 42]:[Mês 42]],tb_Cartao_Credito_Detalhado[Mês/Ano],OFFSET(Z$4,0,-41)),
SUMIFS(tb_Cartao_Credito_Detalhado[[Mês 43]:[Mês 43]],tb_Cartao_Credito_Detalhado[Mês/Ano],OFFSET(Z$4,0,-42)),
SUMIFS(tb_Cartao_Credito_Detalhado[[Mês 44]:[Mês 44]],tb_Cartao_Credito_Detalhado[Mês/Ano],OFFSET(Z$4,0,-43)),
SUMIFS(tb_Cartao_Credito_Detalhado[[Mês 45]:[Mês 45]],tb_Cartao_Credito_Detalhado[Mês/Ano],OFFSET(Z$4,0,-44)),
)</f>
        <v>133.33333333333334</v>
      </c>
      <c r="AA5" s="28">
        <f ca="1">SUM(
SUMIFS(tb_Cartao_Credito_Detalhado[[Mês 1]:[Mês 1]],tb_Cartao_Credito_Detalhado[Mês/Ano],AA$4),
SUMIFS(tb_Cartao_Credito_Detalhado[[Mês 2]:[Mês 2]],tb_Cartao_Credito_Detalhado[Mês/Ano],OFFSET(AA$4,0,-1)),
SUMIFS(tb_Cartao_Credito_Detalhado[[Mês 3]:[Mês 3]],tb_Cartao_Credito_Detalhado[Mês/Ano],OFFSET(AA$4,0,-2)),
SUMIFS(tb_Cartao_Credito_Detalhado[[Mês 4]:[Mês 4]],tb_Cartao_Credito_Detalhado[Mês/Ano],OFFSET(AA$4,0,-3)),
SUMIFS(tb_Cartao_Credito_Detalhado[[Mês 5]:[Mês 5]],tb_Cartao_Credito_Detalhado[Mês/Ano],OFFSET(AA$4,0,-4)),
SUMIFS(tb_Cartao_Credito_Detalhado[[Mês 6]:[Mês 6]],tb_Cartao_Credito_Detalhado[Mês/Ano],OFFSET(AA$4,0,-5)),
SUMIFS(tb_Cartao_Credito_Detalhado[[Mês 7]:[Mês 7]],tb_Cartao_Credito_Detalhado[Mês/Ano],OFFSET(AA$4,0,-6)),
SUMIFS(tb_Cartao_Credito_Detalhado[[Mês 8]:[Mês 8]],tb_Cartao_Credito_Detalhado[Mês/Ano],OFFSET(AA$4,0,-7)),
SUMIFS(tb_Cartao_Credito_Detalhado[[Mês 9]:[Mês 9]],tb_Cartao_Credito_Detalhado[Mês/Ano],OFFSET(AA$4,0,-8)),
SUMIFS(tb_Cartao_Credito_Detalhado[[Mês 10]:[Mês 10]],tb_Cartao_Credito_Detalhado[Mês/Ano],OFFSET(AA$4,0,-9)),
SUMIFS(tb_Cartao_Credito_Detalhado[[Mês 11]:[Mês 11]],tb_Cartao_Credito_Detalhado[Mês/Ano],OFFSET(AA$4,0,-10)),
SUMIFS(tb_Cartao_Credito_Detalhado[[Mês 12]:[Mês 12]],tb_Cartao_Credito_Detalhado[Mês/Ano],OFFSET(AA$4,0,-11)),
SUMIFS(tb_Cartao_Credito_Detalhado[[Mês 13]:[Mês 13]],tb_Cartao_Credito_Detalhado[Mês/Ano],OFFSET(AA$4,0,-12)),
SUMIFS(tb_Cartao_Credito_Detalhado[[Mês 14]:[Mês 14]],tb_Cartao_Credito_Detalhado[Mês/Ano],OFFSET(AA$4,0,-13)),
SUMIFS(tb_Cartao_Credito_Detalhado[[Mês 15]:[Mês 15]],tb_Cartao_Credito_Detalhado[Mês/Ano],OFFSET(AA$4,0,-14)),
SUMIFS(tb_Cartao_Credito_Detalhado[[Mês 16]:[Mês 16]],tb_Cartao_Credito_Detalhado[Mês/Ano],OFFSET(AA$4,0,-15)),
SUMIFS(tb_Cartao_Credito_Detalhado[[Mês 17]:[Mês 17]],tb_Cartao_Credito_Detalhado[Mês/Ano],OFFSET(AA$4,0,-16)),
SUMIFS(tb_Cartao_Credito_Detalhado[[Mês 18]:[Mês 18]],tb_Cartao_Credito_Detalhado[Mês/Ano],OFFSET(AA$4,0,-17)),
SUMIFS(tb_Cartao_Credito_Detalhado[[Mês 19]:[Mês 19]],tb_Cartao_Credito_Detalhado[Mês/Ano],OFFSET(AA$4,0,-18)),
SUMIFS(tb_Cartao_Credito_Detalhado[[Mês 20]:[Mês 20]],tb_Cartao_Credito_Detalhado[Mês/Ano],OFFSET(AA$4,0,-19)),
SUMIFS(tb_Cartao_Credito_Detalhado[[Mês 21]:[Mês 21]],tb_Cartao_Credito_Detalhado[Mês/Ano],OFFSET(AA$4,0,-20)),
SUMIFS(tb_Cartao_Credito_Detalhado[[Mês 22]:[Mês 22]],tb_Cartao_Credito_Detalhado[Mês/Ano],OFFSET(AA$4,0,-21)),
SUMIFS(tb_Cartao_Credito_Detalhado[[Mês 23]:[Mês 23]],tb_Cartao_Credito_Detalhado[Mês/Ano],OFFSET(AA$4,0,-22)),
SUMIFS(tb_Cartao_Credito_Detalhado[[Mês 24]:[Mês 24]],tb_Cartao_Credito_Detalhado[Mês/Ano],OFFSET(AA$4,0,-23)),
SUMIFS(tb_Cartao_Credito_Detalhado[[Mês 25]:[Mês 25]],tb_Cartao_Credito_Detalhado[Mês/Ano],OFFSET(AA$4,0,-24)),
SUMIFS(tb_Cartao_Credito_Detalhado[[Mês 26]:[Mês 26]],tb_Cartao_Credito_Detalhado[Mês/Ano],OFFSET(AA$4,0,-25)),
SUMIFS(tb_Cartao_Credito_Detalhado[[Mês 27]:[Mês 27]],tb_Cartao_Credito_Detalhado[Mês/Ano],OFFSET(AA$4,0,-26)),
SUMIFS(tb_Cartao_Credito_Detalhado[[Mês 28]:[Mês 28]],tb_Cartao_Credito_Detalhado[Mês/Ano],OFFSET(AA$4,0,-27)),
SUMIFS(tb_Cartao_Credito_Detalhado[[Mês 29]:[Mês 29]],tb_Cartao_Credito_Detalhado[Mês/Ano],OFFSET(AA$4,0,-28)),
SUMIFS(tb_Cartao_Credito_Detalhado[[Mês 30]:[Mês 30]],tb_Cartao_Credito_Detalhado[Mês/Ano],OFFSET(AA$4,0,-29)),
SUMIFS(tb_Cartao_Credito_Detalhado[[Mês 31]:[Mês 31]],tb_Cartao_Credito_Detalhado[Mês/Ano],OFFSET(AA$4,0,-30)),
SUMIFS(tb_Cartao_Credito_Detalhado[[Mês 32]:[Mês 32]],tb_Cartao_Credito_Detalhado[Mês/Ano],OFFSET(AA$4,0,-31)),
SUMIFS(tb_Cartao_Credito_Detalhado[[Mês 33]:[Mês 33]],tb_Cartao_Credito_Detalhado[Mês/Ano],OFFSET(AA$4,0,-32)),
SUMIFS(tb_Cartao_Credito_Detalhado[[Mês 34]:[Mês 34]],tb_Cartao_Credito_Detalhado[Mês/Ano],OFFSET(AA$4,0,-33)),
SUMIFS(tb_Cartao_Credito_Detalhado[[Mês 35]:[Mês 35]],tb_Cartao_Credito_Detalhado[Mês/Ano],OFFSET(AA$4,0,-34)),
SUMIFS(tb_Cartao_Credito_Detalhado[[Mês 36]:[Mês 36]],tb_Cartao_Credito_Detalhado[Mês/Ano],OFFSET(AA$4,0,-35)),
SUMIFS(tb_Cartao_Credito_Detalhado[[Mês 37]:[Mês 37]],tb_Cartao_Credito_Detalhado[Mês/Ano],OFFSET(AA$4,0,-36)),
SUMIFS(tb_Cartao_Credito_Detalhado[[Mês 38]:[Mês 38]],tb_Cartao_Credito_Detalhado[Mês/Ano],OFFSET(AA$4,0,-37)),
SUMIFS(tb_Cartao_Credito_Detalhado[[Mês 39]:[Mês 39]],tb_Cartao_Credito_Detalhado[Mês/Ano],OFFSET(AA$4,0,-38)),
SUMIFS(tb_Cartao_Credito_Detalhado[[Mês 40]:[Mês 40]],tb_Cartao_Credito_Detalhado[Mês/Ano],OFFSET(AA$4,0,-39)),
SUMIFS(tb_Cartao_Credito_Detalhado[[Mês 41]:[Mês 41]],tb_Cartao_Credito_Detalhado[Mês/Ano],OFFSET(AA$4,0,-40)),
SUMIFS(tb_Cartao_Credito_Detalhado[[Mês 42]:[Mês 42]],tb_Cartao_Credito_Detalhado[Mês/Ano],OFFSET(AA$4,0,-41)),
SUMIFS(tb_Cartao_Credito_Detalhado[[Mês 43]:[Mês 43]],tb_Cartao_Credito_Detalhado[Mês/Ano],OFFSET(AA$4,0,-42)),
SUMIFS(tb_Cartao_Credito_Detalhado[[Mês 44]:[Mês 44]],tb_Cartao_Credito_Detalhado[Mês/Ano],OFFSET(AA$4,0,-43)),
SUMIFS(tb_Cartao_Credito_Detalhado[[Mês 45]:[Mês 45]],tb_Cartao_Credito_Detalhado[Mês/Ano],OFFSET(AA$4,0,-44)),
)</f>
        <v>133.33333333333334</v>
      </c>
      <c r="AB5" s="28">
        <f ca="1">SUM(
SUMIFS(tb_Cartao_Credito_Detalhado[[Mês 1]:[Mês 1]],tb_Cartao_Credito_Detalhado[Mês/Ano],AB$4),
SUMIFS(tb_Cartao_Credito_Detalhado[[Mês 2]:[Mês 2]],tb_Cartao_Credito_Detalhado[Mês/Ano],OFFSET(AB$4,0,-1)),
SUMIFS(tb_Cartao_Credito_Detalhado[[Mês 3]:[Mês 3]],tb_Cartao_Credito_Detalhado[Mês/Ano],OFFSET(AB$4,0,-2)),
SUMIFS(tb_Cartao_Credito_Detalhado[[Mês 4]:[Mês 4]],tb_Cartao_Credito_Detalhado[Mês/Ano],OFFSET(AB$4,0,-3)),
SUMIFS(tb_Cartao_Credito_Detalhado[[Mês 5]:[Mês 5]],tb_Cartao_Credito_Detalhado[Mês/Ano],OFFSET(AB$4,0,-4)),
SUMIFS(tb_Cartao_Credito_Detalhado[[Mês 6]:[Mês 6]],tb_Cartao_Credito_Detalhado[Mês/Ano],OFFSET(AB$4,0,-5)),
SUMIFS(tb_Cartao_Credito_Detalhado[[Mês 7]:[Mês 7]],tb_Cartao_Credito_Detalhado[Mês/Ano],OFFSET(AB$4,0,-6)),
SUMIFS(tb_Cartao_Credito_Detalhado[[Mês 8]:[Mês 8]],tb_Cartao_Credito_Detalhado[Mês/Ano],OFFSET(AB$4,0,-7)),
SUMIFS(tb_Cartao_Credito_Detalhado[[Mês 9]:[Mês 9]],tb_Cartao_Credito_Detalhado[Mês/Ano],OFFSET(AB$4,0,-8)),
SUMIFS(tb_Cartao_Credito_Detalhado[[Mês 10]:[Mês 10]],tb_Cartao_Credito_Detalhado[Mês/Ano],OFFSET(AB$4,0,-9)),
SUMIFS(tb_Cartao_Credito_Detalhado[[Mês 11]:[Mês 11]],tb_Cartao_Credito_Detalhado[Mês/Ano],OFFSET(AB$4,0,-10)),
SUMIFS(tb_Cartao_Credito_Detalhado[[Mês 12]:[Mês 12]],tb_Cartao_Credito_Detalhado[Mês/Ano],OFFSET(AB$4,0,-11)),
SUMIFS(tb_Cartao_Credito_Detalhado[[Mês 13]:[Mês 13]],tb_Cartao_Credito_Detalhado[Mês/Ano],OFFSET(AB$4,0,-12)),
SUMIFS(tb_Cartao_Credito_Detalhado[[Mês 14]:[Mês 14]],tb_Cartao_Credito_Detalhado[Mês/Ano],OFFSET(AB$4,0,-13)),
SUMIFS(tb_Cartao_Credito_Detalhado[[Mês 15]:[Mês 15]],tb_Cartao_Credito_Detalhado[Mês/Ano],OFFSET(AB$4,0,-14)),
SUMIFS(tb_Cartao_Credito_Detalhado[[Mês 16]:[Mês 16]],tb_Cartao_Credito_Detalhado[Mês/Ano],OFFSET(AB$4,0,-15)),
SUMIFS(tb_Cartao_Credito_Detalhado[[Mês 17]:[Mês 17]],tb_Cartao_Credito_Detalhado[Mês/Ano],OFFSET(AB$4,0,-16)),
SUMIFS(tb_Cartao_Credito_Detalhado[[Mês 18]:[Mês 18]],tb_Cartao_Credito_Detalhado[Mês/Ano],OFFSET(AB$4,0,-17)),
SUMIFS(tb_Cartao_Credito_Detalhado[[Mês 19]:[Mês 19]],tb_Cartao_Credito_Detalhado[Mês/Ano],OFFSET(AB$4,0,-18)),
SUMIFS(tb_Cartao_Credito_Detalhado[[Mês 20]:[Mês 20]],tb_Cartao_Credito_Detalhado[Mês/Ano],OFFSET(AB$4,0,-19)),
SUMIFS(tb_Cartao_Credito_Detalhado[[Mês 21]:[Mês 21]],tb_Cartao_Credito_Detalhado[Mês/Ano],OFFSET(AB$4,0,-20)),
SUMIFS(tb_Cartao_Credito_Detalhado[[Mês 22]:[Mês 22]],tb_Cartao_Credito_Detalhado[Mês/Ano],OFFSET(AB$4,0,-21)),
SUMIFS(tb_Cartao_Credito_Detalhado[[Mês 23]:[Mês 23]],tb_Cartao_Credito_Detalhado[Mês/Ano],OFFSET(AB$4,0,-22)),
SUMIFS(tb_Cartao_Credito_Detalhado[[Mês 24]:[Mês 24]],tb_Cartao_Credito_Detalhado[Mês/Ano],OFFSET(AB$4,0,-23)),
SUMIFS(tb_Cartao_Credito_Detalhado[[Mês 25]:[Mês 25]],tb_Cartao_Credito_Detalhado[Mês/Ano],OFFSET(AB$4,0,-24)),
SUMIFS(tb_Cartao_Credito_Detalhado[[Mês 26]:[Mês 26]],tb_Cartao_Credito_Detalhado[Mês/Ano],OFFSET(AB$4,0,-25)),
SUMIFS(tb_Cartao_Credito_Detalhado[[Mês 27]:[Mês 27]],tb_Cartao_Credito_Detalhado[Mês/Ano],OFFSET(AB$4,0,-26)),
SUMIFS(tb_Cartao_Credito_Detalhado[[Mês 28]:[Mês 28]],tb_Cartao_Credito_Detalhado[Mês/Ano],OFFSET(AB$4,0,-27)),
SUMIFS(tb_Cartao_Credito_Detalhado[[Mês 29]:[Mês 29]],tb_Cartao_Credito_Detalhado[Mês/Ano],OFFSET(AB$4,0,-28)),
SUMIFS(tb_Cartao_Credito_Detalhado[[Mês 30]:[Mês 30]],tb_Cartao_Credito_Detalhado[Mês/Ano],OFFSET(AB$4,0,-29)),
SUMIFS(tb_Cartao_Credito_Detalhado[[Mês 31]:[Mês 31]],tb_Cartao_Credito_Detalhado[Mês/Ano],OFFSET(AB$4,0,-30)),
SUMIFS(tb_Cartao_Credito_Detalhado[[Mês 32]:[Mês 32]],tb_Cartao_Credito_Detalhado[Mês/Ano],OFFSET(AB$4,0,-31)),
SUMIFS(tb_Cartao_Credito_Detalhado[[Mês 33]:[Mês 33]],tb_Cartao_Credito_Detalhado[Mês/Ano],OFFSET(AB$4,0,-32)),
SUMIFS(tb_Cartao_Credito_Detalhado[[Mês 34]:[Mês 34]],tb_Cartao_Credito_Detalhado[Mês/Ano],OFFSET(AB$4,0,-33)),
SUMIFS(tb_Cartao_Credito_Detalhado[[Mês 35]:[Mês 35]],tb_Cartao_Credito_Detalhado[Mês/Ano],OFFSET(AB$4,0,-34)),
SUMIFS(tb_Cartao_Credito_Detalhado[[Mês 36]:[Mês 36]],tb_Cartao_Credito_Detalhado[Mês/Ano],OFFSET(AB$4,0,-35)),
SUMIFS(tb_Cartao_Credito_Detalhado[[Mês 37]:[Mês 37]],tb_Cartao_Credito_Detalhado[Mês/Ano],OFFSET(AB$4,0,-36)),
SUMIFS(tb_Cartao_Credito_Detalhado[[Mês 38]:[Mês 38]],tb_Cartao_Credito_Detalhado[Mês/Ano],OFFSET(AB$4,0,-37)),
SUMIFS(tb_Cartao_Credito_Detalhado[[Mês 39]:[Mês 39]],tb_Cartao_Credito_Detalhado[Mês/Ano],OFFSET(AB$4,0,-38)),
SUMIFS(tb_Cartao_Credito_Detalhado[[Mês 40]:[Mês 40]],tb_Cartao_Credito_Detalhado[Mês/Ano],OFFSET(AB$4,0,-39)),
SUMIFS(tb_Cartao_Credito_Detalhado[[Mês 41]:[Mês 41]],tb_Cartao_Credito_Detalhado[Mês/Ano],OFFSET(AB$4,0,-40)),
SUMIFS(tb_Cartao_Credito_Detalhado[[Mês 42]:[Mês 42]],tb_Cartao_Credito_Detalhado[Mês/Ano],OFFSET(AB$4,0,-41)),
SUMIFS(tb_Cartao_Credito_Detalhado[[Mês 43]:[Mês 43]],tb_Cartao_Credito_Detalhado[Mês/Ano],OFFSET(AB$4,0,-42)),
SUMIFS(tb_Cartao_Credito_Detalhado[[Mês 44]:[Mês 44]],tb_Cartao_Credito_Detalhado[Mês/Ano],OFFSET(AB$4,0,-43)),
SUMIFS(tb_Cartao_Credito_Detalhado[[Mês 45]:[Mês 45]],tb_Cartao_Credito_Detalhado[Mês/Ano],OFFSET(AB$4,0,-44)),
)</f>
        <v>133.33333333333334</v>
      </c>
      <c r="AC5" s="28">
        <f ca="1">SUM(
SUMIFS(tb_Cartao_Credito_Detalhado[[Mês 1]:[Mês 1]],tb_Cartao_Credito_Detalhado[Mês/Ano],AC$4),
SUMIFS(tb_Cartao_Credito_Detalhado[[Mês 2]:[Mês 2]],tb_Cartao_Credito_Detalhado[Mês/Ano],OFFSET(AC$4,0,-1)),
SUMIFS(tb_Cartao_Credito_Detalhado[[Mês 3]:[Mês 3]],tb_Cartao_Credito_Detalhado[Mês/Ano],OFFSET(AC$4,0,-2)),
SUMIFS(tb_Cartao_Credito_Detalhado[[Mês 4]:[Mês 4]],tb_Cartao_Credito_Detalhado[Mês/Ano],OFFSET(AC$4,0,-3)),
SUMIFS(tb_Cartao_Credito_Detalhado[[Mês 5]:[Mês 5]],tb_Cartao_Credito_Detalhado[Mês/Ano],OFFSET(AC$4,0,-4)),
SUMIFS(tb_Cartao_Credito_Detalhado[[Mês 6]:[Mês 6]],tb_Cartao_Credito_Detalhado[Mês/Ano],OFFSET(AC$4,0,-5)),
SUMIFS(tb_Cartao_Credito_Detalhado[[Mês 7]:[Mês 7]],tb_Cartao_Credito_Detalhado[Mês/Ano],OFFSET(AC$4,0,-6)),
SUMIFS(tb_Cartao_Credito_Detalhado[[Mês 8]:[Mês 8]],tb_Cartao_Credito_Detalhado[Mês/Ano],OFFSET(AC$4,0,-7)),
SUMIFS(tb_Cartao_Credito_Detalhado[[Mês 9]:[Mês 9]],tb_Cartao_Credito_Detalhado[Mês/Ano],OFFSET(AC$4,0,-8)),
SUMIFS(tb_Cartao_Credito_Detalhado[[Mês 10]:[Mês 10]],tb_Cartao_Credito_Detalhado[Mês/Ano],OFFSET(AC$4,0,-9)),
SUMIFS(tb_Cartao_Credito_Detalhado[[Mês 11]:[Mês 11]],tb_Cartao_Credito_Detalhado[Mês/Ano],OFFSET(AC$4,0,-10)),
SUMIFS(tb_Cartao_Credito_Detalhado[[Mês 12]:[Mês 12]],tb_Cartao_Credito_Detalhado[Mês/Ano],OFFSET(AC$4,0,-11)),
SUMIFS(tb_Cartao_Credito_Detalhado[[Mês 13]:[Mês 13]],tb_Cartao_Credito_Detalhado[Mês/Ano],OFFSET(AC$4,0,-12)),
SUMIFS(tb_Cartao_Credito_Detalhado[[Mês 14]:[Mês 14]],tb_Cartao_Credito_Detalhado[Mês/Ano],OFFSET(AC$4,0,-13)),
SUMIFS(tb_Cartao_Credito_Detalhado[[Mês 15]:[Mês 15]],tb_Cartao_Credito_Detalhado[Mês/Ano],OFFSET(AC$4,0,-14)),
SUMIFS(tb_Cartao_Credito_Detalhado[[Mês 16]:[Mês 16]],tb_Cartao_Credito_Detalhado[Mês/Ano],OFFSET(AC$4,0,-15)),
SUMIFS(tb_Cartao_Credito_Detalhado[[Mês 17]:[Mês 17]],tb_Cartao_Credito_Detalhado[Mês/Ano],OFFSET(AC$4,0,-16)),
SUMIFS(tb_Cartao_Credito_Detalhado[[Mês 18]:[Mês 18]],tb_Cartao_Credito_Detalhado[Mês/Ano],OFFSET(AC$4,0,-17)),
SUMIFS(tb_Cartao_Credito_Detalhado[[Mês 19]:[Mês 19]],tb_Cartao_Credito_Detalhado[Mês/Ano],OFFSET(AC$4,0,-18)),
SUMIFS(tb_Cartao_Credito_Detalhado[[Mês 20]:[Mês 20]],tb_Cartao_Credito_Detalhado[Mês/Ano],OFFSET(AC$4,0,-19)),
SUMIFS(tb_Cartao_Credito_Detalhado[[Mês 21]:[Mês 21]],tb_Cartao_Credito_Detalhado[Mês/Ano],OFFSET(AC$4,0,-20)),
SUMIFS(tb_Cartao_Credito_Detalhado[[Mês 22]:[Mês 22]],tb_Cartao_Credito_Detalhado[Mês/Ano],OFFSET(AC$4,0,-21)),
SUMIFS(tb_Cartao_Credito_Detalhado[[Mês 23]:[Mês 23]],tb_Cartao_Credito_Detalhado[Mês/Ano],OFFSET(AC$4,0,-22)),
SUMIFS(tb_Cartao_Credito_Detalhado[[Mês 24]:[Mês 24]],tb_Cartao_Credito_Detalhado[Mês/Ano],OFFSET(AC$4,0,-23)),
SUMIFS(tb_Cartao_Credito_Detalhado[[Mês 25]:[Mês 25]],tb_Cartao_Credito_Detalhado[Mês/Ano],OFFSET(AC$4,0,-24)),
SUMIFS(tb_Cartao_Credito_Detalhado[[Mês 26]:[Mês 26]],tb_Cartao_Credito_Detalhado[Mês/Ano],OFFSET(AC$4,0,-25)),
SUMIFS(tb_Cartao_Credito_Detalhado[[Mês 27]:[Mês 27]],tb_Cartao_Credito_Detalhado[Mês/Ano],OFFSET(AC$4,0,-26)),
SUMIFS(tb_Cartao_Credito_Detalhado[[Mês 28]:[Mês 28]],tb_Cartao_Credito_Detalhado[Mês/Ano],OFFSET(AC$4,0,-27)),
SUMIFS(tb_Cartao_Credito_Detalhado[[Mês 29]:[Mês 29]],tb_Cartao_Credito_Detalhado[Mês/Ano],OFFSET(AC$4,0,-28)),
SUMIFS(tb_Cartao_Credito_Detalhado[[Mês 30]:[Mês 30]],tb_Cartao_Credito_Detalhado[Mês/Ano],OFFSET(AC$4,0,-29)),
SUMIFS(tb_Cartao_Credito_Detalhado[[Mês 31]:[Mês 31]],tb_Cartao_Credito_Detalhado[Mês/Ano],OFFSET(AC$4,0,-30)),
SUMIFS(tb_Cartao_Credito_Detalhado[[Mês 32]:[Mês 32]],tb_Cartao_Credito_Detalhado[Mês/Ano],OFFSET(AC$4,0,-31)),
SUMIFS(tb_Cartao_Credito_Detalhado[[Mês 33]:[Mês 33]],tb_Cartao_Credito_Detalhado[Mês/Ano],OFFSET(AC$4,0,-32)),
SUMIFS(tb_Cartao_Credito_Detalhado[[Mês 34]:[Mês 34]],tb_Cartao_Credito_Detalhado[Mês/Ano],OFFSET(AC$4,0,-33)),
SUMIFS(tb_Cartao_Credito_Detalhado[[Mês 35]:[Mês 35]],tb_Cartao_Credito_Detalhado[Mês/Ano],OFFSET(AC$4,0,-34)),
SUMIFS(tb_Cartao_Credito_Detalhado[[Mês 36]:[Mês 36]],tb_Cartao_Credito_Detalhado[Mês/Ano],OFFSET(AC$4,0,-35)),
SUMIFS(tb_Cartao_Credito_Detalhado[[Mês 37]:[Mês 37]],tb_Cartao_Credito_Detalhado[Mês/Ano],OFFSET(AC$4,0,-36)),
SUMIFS(tb_Cartao_Credito_Detalhado[[Mês 38]:[Mês 38]],tb_Cartao_Credito_Detalhado[Mês/Ano],OFFSET(AC$4,0,-37)),
SUMIFS(tb_Cartao_Credito_Detalhado[[Mês 39]:[Mês 39]],tb_Cartao_Credito_Detalhado[Mês/Ano],OFFSET(AC$4,0,-38)),
SUMIFS(tb_Cartao_Credito_Detalhado[[Mês 40]:[Mês 40]],tb_Cartao_Credito_Detalhado[Mês/Ano],OFFSET(AC$4,0,-39)),
SUMIFS(tb_Cartao_Credito_Detalhado[[Mês 41]:[Mês 41]],tb_Cartao_Credito_Detalhado[Mês/Ano],OFFSET(AC$4,0,-40)),
SUMIFS(tb_Cartao_Credito_Detalhado[[Mês 42]:[Mês 42]],tb_Cartao_Credito_Detalhado[Mês/Ano],OFFSET(AC$4,0,-41)),
SUMIFS(tb_Cartao_Credito_Detalhado[[Mês 43]:[Mês 43]],tb_Cartao_Credito_Detalhado[Mês/Ano],OFFSET(AC$4,0,-42)),
SUMIFS(tb_Cartao_Credito_Detalhado[[Mês 44]:[Mês 44]],tb_Cartao_Credito_Detalhado[Mês/Ano],OFFSET(AC$4,0,-43)),
SUMIFS(tb_Cartao_Credito_Detalhado[[Mês 45]:[Mês 45]],tb_Cartao_Credito_Detalhado[Mês/Ano],OFFSET(AC$4,0,-44)),
)</f>
        <v>133.33333333333334</v>
      </c>
      <c r="AD5" s="28">
        <f ca="1">SUM(
SUMIFS(tb_Cartao_Credito_Detalhado[[Mês 1]:[Mês 1]],tb_Cartao_Credito_Detalhado[Mês/Ano],AD$4),
SUMIFS(tb_Cartao_Credito_Detalhado[[Mês 2]:[Mês 2]],tb_Cartao_Credito_Detalhado[Mês/Ano],OFFSET(AD$4,0,-1)),
SUMIFS(tb_Cartao_Credito_Detalhado[[Mês 3]:[Mês 3]],tb_Cartao_Credito_Detalhado[Mês/Ano],OFFSET(AD$4,0,-2)),
SUMIFS(tb_Cartao_Credito_Detalhado[[Mês 4]:[Mês 4]],tb_Cartao_Credito_Detalhado[Mês/Ano],OFFSET(AD$4,0,-3)),
SUMIFS(tb_Cartao_Credito_Detalhado[[Mês 5]:[Mês 5]],tb_Cartao_Credito_Detalhado[Mês/Ano],OFFSET(AD$4,0,-4)),
SUMIFS(tb_Cartao_Credito_Detalhado[[Mês 6]:[Mês 6]],tb_Cartao_Credito_Detalhado[Mês/Ano],OFFSET(AD$4,0,-5)),
SUMIFS(tb_Cartao_Credito_Detalhado[[Mês 7]:[Mês 7]],tb_Cartao_Credito_Detalhado[Mês/Ano],OFFSET(AD$4,0,-6)),
SUMIFS(tb_Cartao_Credito_Detalhado[[Mês 8]:[Mês 8]],tb_Cartao_Credito_Detalhado[Mês/Ano],OFFSET(AD$4,0,-7)),
SUMIFS(tb_Cartao_Credito_Detalhado[[Mês 9]:[Mês 9]],tb_Cartao_Credito_Detalhado[Mês/Ano],OFFSET(AD$4,0,-8)),
SUMIFS(tb_Cartao_Credito_Detalhado[[Mês 10]:[Mês 10]],tb_Cartao_Credito_Detalhado[Mês/Ano],OFFSET(AD$4,0,-9)),
SUMIFS(tb_Cartao_Credito_Detalhado[[Mês 11]:[Mês 11]],tb_Cartao_Credito_Detalhado[Mês/Ano],OFFSET(AD$4,0,-10)),
SUMIFS(tb_Cartao_Credito_Detalhado[[Mês 12]:[Mês 12]],tb_Cartao_Credito_Detalhado[Mês/Ano],OFFSET(AD$4,0,-11)),
SUMIFS(tb_Cartao_Credito_Detalhado[[Mês 13]:[Mês 13]],tb_Cartao_Credito_Detalhado[Mês/Ano],OFFSET(AD$4,0,-12)),
SUMIFS(tb_Cartao_Credito_Detalhado[[Mês 14]:[Mês 14]],tb_Cartao_Credito_Detalhado[Mês/Ano],OFFSET(AD$4,0,-13)),
SUMIFS(tb_Cartao_Credito_Detalhado[[Mês 15]:[Mês 15]],tb_Cartao_Credito_Detalhado[Mês/Ano],OFFSET(AD$4,0,-14)),
SUMIFS(tb_Cartao_Credito_Detalhado[[Mês 16]:[Mês 16]],tb_Cartao_Credito_Detalhado[Mês/Ano],OFFSET(AD$4,0,-15)),
SUMIFS(tb_Cartao_Credito_Detalhado[[Mês 17]:[Mês 17]],tb_Cartao_Credito_Detalhado[Mês/Ano],OFFSET(AD$4,0,-16)),
SUMIFS(tb_Cartao_Credito_Detalhado[[Mês 18]:[Mês 18]],tb_Cartao_Credito_Detalhado[Mês/Ano],OFFSET(AD$4,0,-17)),
SUMIFS(tb_Cartao_Credito_Detalhado[[Mês 19]:[Mês 19]],tb_Cartao_Credito_Detalhado[Mês/Ano],OFFSET(AD$4,0,-18)),
SUMIFS(tb_Cartao_Credito_Detalhado[[Mês 20]:[Mês 20]],tb_Cartao_Credito_Detalhado[Mês/Ano],OFFSET(AD$4,0,-19)),
SUMIFS(tb_Cartao_Credito_Detalhado[[Mês 21]:[Mês 21]],tb_Cartao_Credito_Detalhado[Mês/Ano],OFFSET(AD$4,0,-20)),
SUMIFS(tb_Cartao_Credito_Detalhado[[Mês 22]:[Mês 22]],tb_Cartao_Credito_Detalhado[Mês/Ano],OFFSET(AD$4,0,-21)),
SUMIFS(tb_Cartao_Credito_Detalhado[[Mês 23]:[Mês 23]],tb_Cartao_Credito_Detalhado[Mês/Ano],OFFSET(AD$4,0,-22)),
SUMIFS(tb_Cartao_Credito_Detalhado[[Mês 24]:[Mês 24]],tb_Cartao_Credito_Detalhado[Mês/Ano],OFFSET(AD$4,0,-23)),
SUMIFS(tb_Cartao_Credito_Detalhado[[Mês 25]:[Mês 25]],tb_Cartao_Credito_Detalhado[Mês/Ano],OFFSET(AD$4,0,-24)),
SUMIFS(tb_Cartao_Credito_Detalhado[[Mês 26]:[Mês 26]],tb_Cartao_Credito_Detalhado[Mês/Ano],OFFSET(AD$4,0,-25)),
SUMIFS(tb_Cartao_Credito_Detalhado[[Mês 27]:[Mês 27]],tb_Cartao_Credito_Detalhado[Mês/Ano],OFFSET(AD$4,0,-26)),
SUMIFS(tb_Cartao_Credito_Detalhado[[Mês 28]:[Mês 28]],tb_Cartao_Credito_Detalhado[Mês/Ano],OFFSET(AD$4,0,-27)),
SUMIFS(tb_Cartao_Credito_Detalhado[[Mês 29]:[Mês 29]],tb_Cartao_Credito_Detalhado[Mês/Ano],OFFSET(AD$4,0,-28)),
SUMIFS(tb_Cartao_Credito_Detalhado[[Mês 30]:[Mês 30]],tb_Cartao_Credito_Detalhado[Mês/Ano],OFFSET(AD$4,0,-29)),
SUMIFS(tb_Cartao_Credito_Detalhado[[Mês 31]:[Mês 31]],tb_Cartao_Credito_Detalhado[Mês/Ano],OFFSET(AD$4,0,-30)),
SUMIFS(tb_Cartao_Credito_Detalhado[[Mês 32]:[Mês 32]],tb_Cartao_Credito_Detalhado[Mês/Ano],OFFSET(AD$4,0,-31)),
SUMIFS(tb_Cartao_Credito_Detalhado[[Mês 33]:[Mês 33]],tb_Cartao_Credito_Detalhado[Mês/Ano],OFFSET(AD$4,0,-32)),
SUMIFS(tb_Cartao_Credito_Detalhado[[Mês 34]:[Mês 34]],tb_Cartao_Credito_Detalhado[Mês/Ano],OFFSET(AD$4,0,-33)),
SUMIFS(tb_Cartao_Credito_Detalhado[[Mês 35]:[Mês 35]],tb_Cartao_Credito_Detalhado[Mês/Ano],OFFSET(AD$4,0,-34)),
SUMIFS(tb_Cartao_Credito_Detalhado[[Mês 36]:[Mês 36]],tb_Cartao_Credito_Detalhado[Mês/Ano],OFFSET(AD$4,0,-35)),
SUMIFS(tb_Cartao_Credito_Detalhado[[Mês 37]:[Mês 37]],tb_Cartao_Credito_Detalhado[Mês/Ano],OFFSET(AD$4,0,-36)),
SUMIFS(tb_Cartao_Credito_Detalhado[[Mês 38]:[Mês 38]],tb_Cartao_Credito_Detalhado[Mês/Ano],OFFSET(AD$4,0,-37)),
SUMIFS(tb_Cartao_Credito_Detalhado[[Mês 39]:[Mês 39]],tb_Cartao_Credito_Detalhado[Mês/Ano],OFFSET(AD$4,0,-38)),
SUMIFS(tb_Cartao_Credito_Detalhado[[Mês 40]:[Mês 40]],tb_Cartao_Credito_Detalhado[Mês/Ano],OFFSET(AD$4,0,-39)),
SUMIFS(tb_Cartao_Credito_Detalhado[[Mês 41]:[Mês 41]],tb_Cartao_Credito_Detalhado[Mês/Ano],OFFSET(AD$4,0,-40)),
SUMIFS(tb_Cartao_Credito_Detalhado[[Mês 42]:[Mês 42]],tb_Cartao_Credito_Detalhado[Mês/Ano],OFFSET(AD$4,0,-41)),
SUMIFS(tb_Cartao_Credito_Detalhado[[Mês 43]:[Mês 43]],tb_Cartao_Credito_Detalhado[Mês/Ano],OFFSET(AD$4,0,-42)),
SUMIFS(tb_Cartao_Credito_Detalhado[[Mês 44]:[Mês 44]],tb_Cartao_Credito_Detalhado[Mês/Ano],OFFSET(AD$4,0,-43)),
SUMIFS(tb_Cartao_Credito_Detalhado[[Mês 45]:[Mês 45]],tb_Cartao_Credito_Detalhado[Mês/Ano],OFFSET(AD$4,0,-44)),
)</f>
        <v>133.33333333333334</v>
      </c>
      <c r="AE5" s="28">
        <f ca="1">SUM(
SUMIFS(tb_Cartao_Credito_Detalhado[[Mês 1]:[Mês 1]],tb_Cartao_Credito_Detalhado[Mês/Ano],AE$4),
SUMIFS(tb_Cartao_Credito_Detalhado[[Mês 2]:[Mês 2]],tb_Cartao_Credito_Detalhado[Mês/Ano],OFFSET(AE$4,0,-1)),
SUMIFS(tb_Cartao_Credito_Detalhado[[Mês 3]:[Mês 3]],tb_Cartao_Credito_Detalhado[Mês/Ano],OFFSET(AE$4,0,-2)),
SUMIFS(tb_Cartao_Credito_Detalhado[[Mês 4]:[Mês 4]],tb_Cartao_Credito_Detalhado[Mês/Ano],OFFSET(AE$4,0,-3)),
SUMIFS(tb_Cartao_Credito_Detalhado[[Mês 5]:[Mês 5]],tb_Cartao_Credito_Detalhado[Mês/Ano],OFFSET(AE$4,0,-4)),
SUMIFS(tb_Cartao_Credito_Detalhado[[Mês 6]:[Mês 6]],tb_Cartao_Credito_Detalhado[Mês/Ano],OFFSET(AE$4,0,-5)),
SUMIFS(tb_Cartao_Credito_Detalhado[[Mês 7]:[Mês 7]],tb_Cartao_Credito_Detalhado[Mês/Ano],OFFSET(AE$4,0,-6)),
SUMIFS(tb_Cartao_Credito_Detalhado[[Mês 8]:[Mês 8]],tb_Cartao_Credito_Detalhado[Mês/Ano],OFFSET(AE$4,0,-7)),
SUMIFS(tb_Cartao_Credito_Detalhado[[Mês 9]:[Mês 9]],tb_Cartao_Credito_Detalhado[Mês/Ano],OFFSET(AE$4,0,-8)),
SUMIFS(tb_Cartao_Credito_Detalhado[[Mês 10]:[Mês 10]],tb_Cartao_Credito_Detalhado[Mês/Ano],OFFSET(AE$4,0,-9)),
SUMIFS(tb_Cartao_Credito_Detalhado[[Mês 11]:[Mês 11]],tb_Cartao_Credito_Detalhado[Mês/Ano],OFFSET(AE$4,0,-10)),
SUMIFS(tb_Cartao_Credito_Detalhado[[Mês 12]:[Mês 12]],tb_Cartao_Credito_Detalhado[Mês/Ano],OFFSET(AE$4,0,-11)),
SUMIFS(tb_Cartao_Credito_Detalhado[[Mês 13]:[Mês 13]],tb_Cartao_Credito_Detalhado[Mês/Ano],OFFSET(AE$4,0,-12)),
SUMIFS(tb_Cartao_Credito_Detalhado[[Mês 14]:[Mês 14]],tb_Cartao_Credito_Detalhado[Mês/Ano],OFFSET(AE$4,0,-13)),
SUMIFS(tb_Cartao_Credito_Detalhado[[Mês 15]:[Mês 15]],tb_Cartao_Credito_Detalhado[Mês/Ano],OFFSET(AE$4,0,-14)),
SUMIFS(tb_Cartao_Credito_Detalhado[[Mês 16]:[Mês 16]],tb_Cartao_Credito_Detalhado[Mês/Ano],OFFSET(AE$4,0,-15)),
SUMIFS(tb_Cartao_Credito_Detalhado[[Mês 17]:[Mês 17]],tb_Cartao_Credito_Detalhado[Mês/Ano],OFFSET(AE$4,0,-16)),
SUMIFS(tb_Cartao_Credito_Detalhado[[Mês 18]:[Mês 18]],tb_Cartao_Credito_Detalhado[Mês/Ano],OFFSET(AE$4,0,-17)),
SUMIFS(tb_Cartao_Credito_Detalhado[[Mês 19]:[Mês 19]],tb_Cartao_Credito_Detalhado[Mês/Ano],OFFSET(AE$4,0,-18)),
SUMIFS(tb_Cartao_Credito_Detalhado[[Mês 20]:[Mês 20]],tb_Cartao_Credito_Detalhado[Mês/Ano],OFFSET(AE$4,0,-19)),
SUMIFS(tb_Cartao_Credito_Detalhado[[Mês 21]:[Mês 21]],tb_Cartao_Credito_Detalhado[Mês/Ano],OFFSET(AE$4,0,-20)),
SUMIFS(tb_Cartao_Credito_Detalhado[[Mês 22]:[Mês 22]],tb_Cartao_Credito_Detalhado[Mês/Ano],OFFSET(AE$4,0,-21)),
SUMIFS(tb_Cartao_Credito_Detalhado[[Mês 23]:[Mês 23]],tb_Cartao_Credito_Detalhado[Mês/Ano],OFFSET(AE$4,0,-22)),
SUMIFS(tb_Cartao_Credito_Detalhado[[Mês 24]:[Mês 24]],tb_Cartao_Credito_Detalhado[Mês/Ano],OFFSET(AE$4,0,-23)),
SUMIFS(tb_Cartao_Credito_Detalhado[[Mês 25]:[Mês 25]],tb_Cartao_Credito_Detalhado[Mês/Ano],OFFSET(AE$4,0,-24)),
SUMIFS(tb_Cartao_Credito_Detalhado[[Mês 26]:[Mês 26]],tb_Cartao_Credito_Detalhado[Mês/Ano],OFFSET(AE$4,0,-25)),
SUMIFS(tb_Cartao_Credito_Detalhado[[Mês 27]:[Mês 27]],tb_Cartao_Credito_Detalhado[Mês/Ano],OFFSET(AE$4,0,-26)),
SUMIFS(tb_Cartao_Credito_Detalhado[[Mês 28]:[Mês 28]],tb_Cartao_Credito_Detalhado[Mês/Ano],OFFSET(AE$4,0,-27)),
SUMIFS(tb_Cartao_Credito_Detalhado[[Mês 29]:[Mês 29]],tb_Cartao_Credito_Detalhado[Mês/Ano],OFFSET(AE$4,0,-28)),
SUMIFS(tb_Cartao_Credito_Detalhado[[Mês 30]:[Mês 30]],tb_Cartao_Credito_Detalhado[Mês/Ano],OFFSET(AE$4,0,-29)),
SUMIFS(tb_Cartao_Credito_Detalhado[[Mês 31]:[Mês 31]],tb_Cartao_Credito_Detalhado[Mês/Ano],OFFSET(AE$4,0,-30)),
SUMIFS(tb_Cartao_Credito_Detalhado[[Mês 32]:[Mês 32]],tb_Cartao_Credito_Detalhado[Mês/Ano],OFFSET(AE$4,0,-31)),
SUMIFS(tb_Cartao_Credito_Detalhado[[Mês 33]:[Mês 33]],tb_Cartao_Credito_Detalhado[Mês/Ano],OFFSET(AE$4,0,-32)),
SUMIFS(tb_Cartao_Credito_Detalhado[[Mês 34]:[Mês 34]],tb_Cartao_Credito_Detalhado[Mês/Ano],OFFSET(AE$4,0,-33)),
SUMIFS(tb_Cartao_Credito_Detalhado[[Mês 35]:[Mês 35]],tb_Cartao_Credito_Detalhado[Mês/Ano],OFFSET(AE$4,0,-34)),
SUMIFS(tb_Cartao_Credito_Detalhado[[Mês 36]:[Mês 36]],tb_Cartao_Credito_Detalhado[Mês/Ano],OFFSET(AE$4,0,-35)),
SUMIFS(tb_Cartao_Credito_Detalhado[[Mês 37]:[Mês 37]],tb_Cartao_Credito_Detalhado[Mês/Ano],OFFSET(AE$4,0,-36)),
SUMIFS(tb_Cartao_Credito_Detalhado[[Mês 38]:[Mês 38]],tb_Cartao_Credito_Detalhado[Mês/Ano],OFFSET(AE$4,0,-37)),
SUMIFS(tb_Cartao_Credito_Detalhado[[Mês 39]:[Mês 39]],tb_Cartao_Credito_Detalhado[Mês/Ano],OFFSET(AE$4,0,-38)),
SUMIFS(tb_Cartao_Credito_Detalhado[[Mês 40]:[Mês 40]],tb_Cartao_Credito_Detalhado[Mês/Ano],OFFSET(AE$4,0,-39)),
SUMIFS(tb_Cartao_Credito_Detalhado[[Mês 41]:[Mês 41]],tb_Cartao_Credito_Detalhado[Mês/Ano],OFFSET(AE$4,0,-40)),
SUMIFS(tb_Cartao_Credito_Detalhado[[Mês 42]:[Mês 42]],tb_Cartao_Credito_Detalhado[Mês/Ano],OFFSET(AE$4,0,-41)),
SUMIFS(tb_Cartao_Credito_Detalhado[[Mês 43]:[Mês 43]],tb_Cartao_Credito_Detalhado[Mês/Ano],OFFSET(AE$4,0,-42)),
SUMIFS(tb_Cartao_Credito_Detalhado[[Mês 44]:[Mês 44]],tb_Cartao_Credito_Detalhado[Mês/Ano],OFFSET(AE$4,0,-43)),
SUMIFS(tb_Cartao_Credito_Detalhado[[Mês 45]:[Mês 45]],tb_Cartao_Credito_Detalhado[Mês/Ano],OFFSET(AE$4,0,-44)),
)</f>
        <v>133.33333333333334</v>
      </c>
      <c r="AF5" s="28">
        <f ca="1">SUM(
SUMIFS(tb_Cartao_Credito_Detalhado[[Mês 1]:[Mês 1]],tb_Cartao_Credito_Detalhado[Mês/Ano],AF$4),
SUMIFS(tb_Cartao_Credito_Detalhado[[Mês 2]:[Mês 2]],tb_Cartao_Credito_Detalhado[Mês/Ano],OFFSET(AF$4,0,-1)),
SUMIFS(tb_Cartao_Credito_Detalhado[[Mês 3]:[Mês 3]],tb_Cartao_Credito_Detalhado[Mês/Ano],OFFSET(AF$4,0,-2)),
SUMIFS(tb_Cartao_Credito_Detalhado[[Mês 4]:[Mês 4]],tb_Cartao_Credito_Detalhado[Mês/Ano],OFFSET(AF$4,0,-3)),
SUMIFS(tb_Cartao_Credito_Detalhado[[Mês 5]:[Mês 5]],tb_Cartao_Credito_Detalhado[Mês/Ano],OFFSET(AF$4,0,-4)),
SUMIFS(tb_Cartao_Credito_Detalhado[[Mês 6]:[Mês 6]],tb_Cartao_Credito_Detalhado[Mês/Ano],OFFSET(AF$4,0,-5)),
SUMIFS(tb_Cartao_Credito_Detalhado[[Mês 7]:[Mês 7]],tb_Cartao_Credito_Detalhado[Mês/Ano],OFFSET(AF$4,0,-6)),
SUMIFS(tb_Cartao_Credito_Detalhado[[Mês 8]:[Mês 8]],tb_Cartao_Credito_Detalhado[Mês/Ano],OFFSET(AF$4,0,-7)),
SUMIFS(tb_Cartao_Credito_Detalhado[[Mês 9]:[Mês 9]],tb_Cartao_Credito_Detalhado[Mês/Ano],OFFSET(AF$4,0,-8)),
SUMIFS(tb_Cartao_Credito_Detalhado[[Mês 10]:[Mês 10]],tb_Cartao_Credito_Detalhado[Mês/Ano],OFFSET(AF$4,0,-9)),
SUMIFS(tb_Cartao_Credito_Detalhado[[Mês 11]:[Mês 11]],tb_Cartao_Credito_Detalhado[Mês/Ano],OFFSET(AF$4,0,-10)),
SUMIFS(tb_Cartao_Credito_Detalhado[[Mês 12]:[Mês 12]],tb_Cartao_Credito_Detalhado[Mês/Ano],OFFSET(AF$4,0,-11)),
SUMIFS(tb_Cartao_Credito_Detalhado[[Mês 13]:[Mês 13]],tb_Cartao_Credito_Detalhado[Mês/Ano],OFFSET(AF$4,0,-12)),
SUMIFS(tb_Cartao_Credito_Detalhado[[Mês 14]:[Mês 14]],tb_Cartao_Credito_Detalhado[Mês/Ano],OFFSET(AF$4,0,-13)),
SUMIFS(tb_Cartao_Credito_Detalhado[[Mês 15]:[Mês 15]],tb_Cartao_Credito_Detalhado[Mês/Ano],OFFSET(AF$4,0,-14)),
SUMIFS(tb_Cartao_Credito_Detalhado[[Mês 16]:[Mês 16]],tb_Cartao_Credito_Detalhado[Mês/Ano],OFFSET(AF$4,0,-15)),
SUMIFS(tb_Cartao_Credito_Detalhado[[Mês 17]:[Mês 17]],tb_Cartao_Credito_Detalhado[Mês/Ano],OFFSET(AF$4,0,-16)),
SUMIFS(tb_Cartao_Credito_Detalhado[[Mês 18]:[Mês 18]],tb_Cartao_Credito_Detalhado[Mês/Ano],OFFSET(AF$4,0,-17)),
SUMIFS(tb_Cartao_Credito_Detalhado[[Mês 19]:[Mês 19]],tb_Cartao_Credito_Detalhado[Mês/Ano],OFFSET(AF$4,0,-18)),
SUMIFS(tb_Cartao_Credito_Detalhado[[Mês 20]:[Mês 20]],tb_Cartao_Credito_Detalhado[Mês/Ano],OFFSET(AF$4,0,-19)),
SUMIFS(tb_Cartao_Credito_Detalhado[[Mês 21]:[Mês 21]],tb_Cartao_Credito_Detalhado[Mês/Ano],OFFSET(AF$4,0,-20)),
SUMIFS(tb_Cartao_Credito_Detalhado[[Mês 22]:[Mês 22]],tb_Cartao_Credito_Detalhado[Mês/Ano],OFFSET(AF$4,0,-21)),
SUMIFS(tb_Cartao_Credito_Detalhado[[Mês 23]:[Mês 23]],tb_Cartao_Credito_Detalhado[Mês/Ano],OFFSET(AF$4,0,-22)),
SUMIFS(tb_Cartao_Credito_Detalhado[[Mês 24]:[Mês 24]],tb_Cartao_Credito_Detalhado[Mês/Ano],OFFSET(AF$4,0,-23)),
SUMIFS(tb_Cartao_Credito_Detalhado[[Mês 25]:[Mês 25]],tb_Cartao_Credito_Detalhado[Mês/Ano],OFFSET(AF$4,0,-24)),
SUMIFS(tb_Cartao_Credito_Detalhado[[Mês 26]:[Mês 26]],tb_Cartao_Credito_Detalhado[Mês/Ano],OFFSET(AF$4,0,-25)),
SUMIFS(tb_Cartao_Credito_Detalhado[[Mês 27]:[Mês 27]],tb_Cartao_Credito_Detalhado[Mês/Ano],OFFSET(AF$4,0,-26)),
SUMIFS(tb_Cartao_Credito_Detalhado[[Mês 28]:[Mês 28]],tb_Cartao_Credito_Detalhado[Mês/Ano],OFFSET(AF$4,0,-27)),
SUMIFS(tb_Cartao_Credito_Detalhado[[Mês 29]:[Mês 29]],tb_Cartao_Credito_Detalhado[Mês/Ano],OFFSET(AF$4,0,-28)),
SUMIFS(tb_Cartao_Credito_Detalhado[[Mês 30]:[Mês 30]],tb_Cartao_Credito_Detalhado[Mês/Ano],OFFSET(AF$4,0,-29)),
SUMIFS(tb_Cartao_Credito_Detalhado[[Mês 31]:[Mês 31]],tb_Cartao_Credito_Detalhado[Mês/Ano],OFFSET(AF$4,0,-30)),
SUMIFS(tb_Cartao_Credito_Detalhado[[Mês 32]:[Mês 32]],tb_Cartao_Credito_Detalhado[Mês/Ano],OFFSET(AF$4,0,-31)),
SUMIFS(tb_Cartao_Credito_Detalhado[[Mês 33]:[Mês 33]],tb_Cartao_Credito_Detalhado[Mês/Ano],OFFSET(AF$4,0,-32)),
SUMIFS(tb_Cartao_Credito_Detalhado[[Mês 34]:[Mês 34]],tb_Cartao_Credito_Detalhado[Mês/Ano],OFFSET(AF$4,0,-33)),
SUMIFS(tb_Cartao_Credito_Detalhado[[Mês 35]:[Mês 35]],tb_Cartao_Credito_Detalhado[Mês/Ano],OFFSET(AF$4,0,-34)),
SUMIFS(tb_Cartao_Credito_Detalhado[[Mês 36]:[Mês 36]],tb_Cartao_Credito_Detalhado[Mês/Ano],OFFSET(AF$4,0,-35)),
SUMIFS(tb_Cartao_Credito_Detalhado[[Mês 37]:[Mês 37]],tb_Cartao_Credito_Detalhado[Mês/Ano],OFFSET(AF$4,0,-36)),
SUMIFS(tb_Cartao_Credito_Detalhado[[Mês 38]:[Mês 38]],tb_Cartao_Credito_Detalhado[Mês/Ano],OFFSET(AF$4,0,-37)),
SUMIFS(tb_Cartao_Credito_Detalhado[[Mês 39]:[Mês 39]],tb_Cartao_Credito_Detalhado[Mês/Ano],OFFSET(AF$4,0,-38)),
SUMIFS(tb_Cartao_Credito_Detalhado[[Mês 40]:[Mês 40]],tb_Cartao_Credito_Detalhado[Mês/Ano],OFFSET(AF$4,0,-39)),
SUMIFS(tb_Cartao_Credito_Detalhado[[Mês 41]:[Mês 41]],tb_Cartao_Credito_Detalhado[Mês/Ano],OFFSET(AF$4,0,-40)),
SUMIFS(tb_Cartao_Credito_Detalhado[[Mês 42]:[Mês 42]],tb_Cartao_Credito_Detalhado[Mês/Ano],OFFSET(AF$4,0,-41)),
SUMIFS(tb_Cartao_Credito_Detalhado[[Mês 43]:[Mês 43]],tb_Cartao_Credito_Detalhado[Mês/Ano],OFFSET(AF$4,0,-42)),
SUMIFS(tb_Cartao_Credito_Detalhado[[Mês 44]:[Mês 44]],tb_Cartao_Credito_Detalhado[Mês/Ano],OFFSET(AF$4,0,-43)),
SUMIFS(tb_Cartao_Credito_Detalhado[[Mês 45]:[Mês 45]],tb_Cartao_Credito_Detalhado[Mês/Ano],OFFSET(AF$4,0,-44)),
)</f>
        <v>133.33333333333334</v>
      </c>
      <c r="AG5" s="28">
        <f ca="1">SUM(
SUMIFS(tb_Cartao_Credito_Detalhado[[Mês 1]:[Mês 1]],tb_Cartao_Credito_Detalhado[Mês/Ano],AG$4),
SUMIFS(tb_Cartao_Credito_Detalhado[[Mês 2]:[Mês 2]],tb_Cartao_Credito_Detalhado[Mês/Ano],OFFSET(AG$4,0,-1)),
SUMIFS(tb_Cartao_Credito_Detalhado[[Mês 3]:[Mês 3]],tb_Cartao_Credito_Detalhado[Mês/Ano],OFFSET(AG$4,0,-2)),
SUMIFS(tb_Cartao_Credito_Detalhado[[Mês 4]:[Mês 4]],tb_Cartao_Credito_Detalhado[Mês/Ano],OFFSET(AG$4,0,-3)),
SUMIFS(tb_Cartao_Credito_Detalhado[[Mês 5]:[Mês 5]],tb_Cartao_Credito_Detalhado[Mês/Ano],OFFSET(AG$4,0,-4)),
SUMIFS(tb_Cartao_Credito_Detalhado[[Mês 6]:[Mês 6]],tb_Cartao_Credito_Detalhado[Mês/Ano],OFFSET(AG$4,0,-5)),
SUMIFS(tb_Cartao_Credito_Detalhado[[Mês 7]:[Mês 7]],tb_Cartao_Credito_Detalhado[Mês/Ano],OFFSET(AG$4,0,-6)),
SUMIFS(tb_Cartao_Credito_Detalhado[[Mês 8]:[Mês 8]],tb_Cartao_Credito_Detalhado[Mês/Ano],OFFSET(AG$4,0,-7)),
SUMIFS(tb_Cartao_Credito_Detalhado[[Mês 9]:[Mês 9]],tb_Cartao_Credito_Detalhado[Mês/Ano],OFFSET(AG$4,0,-8)),
SUMIFS(tb_Cartao_Credito_Detalhado[[Mês 10]:[Mês 10]],tb_Cartao_Credito_Detalhado[Mês/Ano],OFFSET(AG$4,0,-9)),
SUMIFS(tb_Cartao_Credito_Detalhado[[Mês 11]:[Mês 11]],tb_Cartao_Credito_Detalhado[Mês/Ano],OFFSET(AG$4,0,-10)),
SUMIFS(tb_Cartao_Credito_Detalhado[[Mês 12]:[Mês 12]],tb_Cartao_Credito_Detalhado[Mês/Ano],OFFSET(AG$4,0,-11)),
SUMIFS(tb_Cartao_Credito_Detalhado[[Mês 13]:[Mês 13]],tb_Cartao_Credito_Detalhado[Mês/Ano],OFFSET(AG$4,0,-12)),
SUMIFS(tb_Cartao_Credito_Detalhado[[Mês 14]:[Mês 14]],tb_Cartao_Credito_Detalhado[Mês/Ano],OFFSET(AG$4,0,-13)),
SUMIFS(tb_Cartao_Credito_Detalhado[[Mês 15]:[Mês 15]],tb_Cartao_Credito_Detalhado[Mês/Ano],OFFSET(AG$4,0,-14)),
SUMIFS(tb_Cartao_Credito_Detalhado[[Mês 16]:[Mês 16]],tb_Cartao_Credito_Detalhado[Mês/Ano],OFFSET(AG$4,0,-15)),
SUMIFS(tb_Cartao_Credito_Detalhado[[Mês 17]:[Mês 17]],tb_Cartao_Credito_Detalhado[Mês/Ano],OFFSET(AG$4,0,-16)),
SUMIFS(tb_Cartao_Credito_Detalhado[[Mês 18]:[Mês 18]],tb_Cartao_Credito_Detalhado[Mês/Ano],OFFSET(AG$4,0,-17)),
SUMIFS(tb_Cartao_Credito_Detalhado[[Mês 19]:[Mês 19]],tb_Cartao_Credito_Detalhado[Mês/Ano],OFFSET(AG$4,0,-18)),
SUMIFS(tb_Cartao_Credito_Detalhado[[Mês 20]:[Mês 20]],tb_Cartao_Credito_Detalhado[Mês/Ano],OFFSET(AG$4,0,-19)),
SUMIFS(tb_Cartao_Credito_Detalhado[[Mês 21]:[Mês 21]],tb_Cartao_Credito_Detalhado[Mês/Ano],OFFSET(AG$4,0,-20)),
SUMIFS(tb_Cartao_Credito_Detalhado[[Mês 22]:[Mês 22]],tb_Cartao_Credito_Detalhado[Mês/Ano],OFFSET(AG$4,0,-21)),
SUMIFS(tb_Cartao_Credito_Detalhado[[Mês 23]:[Mês 23]],tb_Cartao_Credito_Detalhado[Mês/Ano],OFFSET(AG$4,0,-22)),
SUMIFS(tb_Cartao_Credito_Detalhado[[Mês 24]:[Mês 24]],tb_Cartao_Credito_Detalhado[Mês/Ano],OFFSET(AG$4,0,-23)),
SUMIFS(tb_Cartao_Credito_Detalhado[[Mês 25]:[Mês 25]],tb_Cartao_Credito_Detalhado[Mês/Ano],OFFSET(AG$4,0,-24)),
SUMIFS(tb_Cartao_Credito_Detalhado[[Mês 26]:[Mês 26]],tb_Cartao_Credito_Detalhado[Mês/Ano],OFFSET(AG$4,0,-25)),
SUMIFS(tb_Cartao_Credito_Detalhado[[Mês 27]:[Mês 27]],tb_Cartao_Credito_Detalhado[Mês/Ano],OFFSET(AG$4,0,-26)),
SUMIFS(tb_Cartao_Credito_Detalhado[[Mês 28]:[Mês 28]],tb_Cartao_Credito_Detalhado[Mês/Ano],OFFSET(AG$4,0,-27)),
SUMIFS(tb_Cartao_Credito_Detalhado[[Mês 29]:[Mês 29]],tb_Cartao_Credito_Detalhado[Mês/Ano],OFFSET(AG$4,0,-28)),
SUMIFS(tb_Cartao_Credito_Detalhado[[Mês 30]:[Mês 30]],tb_Cartao_Credito_Detalhado[Mês/Ano],OFFSET(AG$4,0,-29)),
SUMIFS(tb_Cartao_Credito_Detalhado[[Mês 31]:[Mês 31]],tb_Cartao_Credito_Detalhado[Mês/Ano],OFFSET(AG$4,0,-30)),
SUMIFS(tb_Cartao_Credito_Detalhado[[Mês 32]:[Mês 32]],tb_Cartao_Credito_Detalhado[Mês/Ano],OFFSET(AG$4,0,-31)),
SUMIFS(tb_Cartao_Credito_Detalhado[[Mês 33]:[Mês 33]],tb_Cartao_Credito_Detalhado[Mês/Ano],OFFSET(AG$4,0,-32)),
SUMIFS(tb_Cartao_Credito_Detalhado[[Mês 34]:[Mês 34]],tb_Cartao_Credito_Detalhado[Mês/Ano],OFFSET(AG$4,0,-33)),
SUMIFS(tb_Cartao_Credito_Detalhado[[Mês 35]:[Mês 35]],tb_Cartao_Credito_Detalhado[Mês/Ano],OFFSET(AG$4,0,-34)),
SUMIFS(tb_Cartao_Credito_Detalhado[[Mês 36]:[Mês 36]],tb_Cartao_Credito_Detalhado[Mês/Ano],OFFSET(AG$4,0,-35)),
SUMIFS(tb_Cartao_Credito_Detalhado[[Mês 37]:[Mês 37]],tb_Cartao_Credito_Detalhado[Mês/Ano],OFFSET(AG$4,0,-36)),
SUMIFS(tb_Cartao_Credito_Detalhado[[Mês 38]:[Mês 38]],tb_Cartao_Credito_Detalhado[Mês/Ano],OFFSET(AG$4,0,-37)),
SUMIFS(tb_Cartao_Credito_Detalhado[[Mês 39]:[Mês 39]],tb_Cartao_Credito_Detalhado[Mês/Ano],OFFSET(AG$4,0,-38)),
SUMIFS(tb_Cartao_Credito_Detalhado[[Mês 40]:[Mês 40]],tb_Cartao_Credito_Detalhado[Mês/Ano],OFFSET(AG$4,0,-39)),
SUMIFS(tb_Cartao_Credito_Detalhado[[Mês 41]:[Mês 41]],tb_Cartao_Credito_Detalhado[Mês/Ano],OFFSET(AG$4,0,-40)),
SUMIFS(tb_Cartao_Credito_Detalhado[[Mês 42]:[Mês 42]],tb_Cartao_Credito_Detalhado[Mês/Ano],OFFSET(AG$4,0,-41)),
SUMIFS(tb_Cartao_Credito_Detalhado[[Mês 43]:[Mês 43]],tb_Cartao_Credito_Detalhado[Mês/Ano],OFFSET(AG$4,0,-42)),
SUMIFS(tb_Cartao_Credito_Detalhado[[Mês 44]:[Mês 44]],tb_Cartao_Credito_Detalhado[Mês/Ano],OFFSET(AG$4,0,-43)),
SUMIFS(tb_Cartao_Credito_Detalhado[[Mês 45]:[Mês 45]],tb_Cartao_Credito_Detalhado[Mês/Ano],OFFSET(AG$4,0,-44)),
)</f>
        <v>133.33333333333334</v>
      </c>
      <c r="AH5" s="28">
        <f ca="1">SUM(
SUMIFS(tb_Cartao_Credito_Detalhado[[Mês 1]:[Mês 1]],tb_Cartao_Credito_Detalhado[Mês/Ano],AH$4),
SUMIFS(tb_Cartao_Credito_Detalhado[[Mês 2]:[Mês 2]],tb_Cartao_Credito_Detalhado[Mês/Ano],OFFSET(AH$4,0,-1)),
SUMIFS(tb_Cartao_Credito_Detalhado[[Mês 3]:[Mês 3]],tb_Cartao_Credito_Detalhado[Mês/Ano],OFFSET(AH$4,0,-2)),
SUMIFS(tb_Cartao_Credito_Detalhado[[Mês 4]:[Mês 4]],tb_Cartao_Credito_Detalhado[Mês/Ano],OFFSET(AH$4,0,-3)),
SUMIFS(tb_Cartao_Credito_Detalhado[[Mês 5]:[Mês 5]],tb_Cartao_Credito_Detalhado[Mês/Ano],OFFSET(AH$4,0,-4)),
SUMIFS(tb_Cartao_Credito_Detalhado[[Mês 6]:[Mês 6]],tb_Cartao_Credito_Detalhado[Mês/Ano],OFFSET(AH$4,0,-5)),
SUMIFS(tb_Cartao_Credito_Detalhado[[Mês 7]:[Mês 7]],tb_Cartao_Credito_Detalhado[Mês/Ano],OFFSET(AH$4,0,-6)),
SUMIFS(tb_Cartao_Credito_Detalhado[[Mês 8]:[Mês 8]],tb_Cartao_Credito_Detalhado[Mês/Ano],OFFSET(AH$4,0,-7)),
SUMIFS(tb_Cartao_Credito_Detalhado[[Mês 9]:[Mês 9]],tb_Cartao_Credito_Detalhado[Mês/Ano],OFFSET(AH$4,0,-8)),
SUMIFS(tb_Cartao_Credito_Detalhado[[Mês 10]:[Mês 10]],tb_Cartao_Credito_Detalhado[Mês/Ano],OFFSET(AH$4,0,-9)),
SUMIFS(tb_Cartao_Credito_Detalhado[[Mês 11]:[Mês 11]],tb_Cartao_Credito_Detalhado[Mês/Ano],OFFSET(AH$4,0,-10)),
SUMIFS(tb_Cartao_Credito_Detalhado[[Mês 12]:[Mês 12]],tb_Cartao_Credito_Detalhado[Mês/Ano],OFFSET(AH$4,0,-11)),
SUMIFS(tb_Cartao_Credito_Detalhado[[Mês 13]:[Mês 13]],tb_Cartao_Credito_Detalhado[Mês/Ano],OFFSET(AH$4,0,-12)),
SUMIFS(tb_Cartao_Credito_Detalhado[[Mês 14]:[Mês 14]],tb_Cartao_Credito_Detalhado[Mês/Ano],OFFSET(AH$4,0,-13)),
SUMIFS(tb_Cartao_Credito_Detalhado[[Mês 15]:[Mês 15]],tb_Cartao_Credito_Detalhado[Mês/Ano],OFFSET(AH$4,0,-14)),
SUMIFS(tb_Cartao_Credito_Detalhado[[Mês 16]:[Mês 16]],tb_Cartao_Credito_Detalhado[Mês/Ano],OFFSET(AH$4,0,-15)),
SUMIFS(tb_Cartao_Credito_Detalhado[[Mês 17]:[Mês 17]],tb_Cartao_Credito_Detalhado[Mês/Ano],OFFSET(AH$4,0,-16)),
SUMIFS(tb_Cartao_Credito_Detalhado[[Mês 18]:[Mês 18]],tb_Cartao_Credito_Detalhado[Mês/Ano],OFFSET(AH$4,0,-17)),
SUMIFS(tb_Cartao_Credito_Detalhado[[Mês 19]:[Mês 19]],tb_Cartao_Credito_Detalhado[Mês/Ano],OFFSET(AH$4,0,-18)),
SUMIFS(tb_Cartao_Credito_Detalhado[[Mês 20]:[Mês 20]],tb_Cartao_Credito_Detalhado[Mês/Ano],OFFSET(AH$4,0,-19)),
SUMIFS(tb_Cartao_Credito_Detalhado[[Mês 21]:[Mês 21]],tb_Cartao_Credito_Detalhado[Mês/Ano],OFFSET(AH$4,0,-20)),
SUMIFS(tb_Cartao_Credito_Detalhado[[Mês 22]:[Mês 22]],tb_Cartao_Credito_Detalhado[Mês/Ano],OFFSET(AH$4,0,-21)),
SUMIFS(tb_Cartao_Credito_Detalhado[[Mês 23]:[Mês 23]],tb_Cartao_Credito_Detalhado[Mês/Ano],OFFSET(AH$4,0,-22)),
SUMIFS(tb_Cartao_Credito_Detalhado[[Mês 24]:[Mês 24]],tb_Cartao_Credito_Detalhado[Mês/Ano],OFFSET(AH$4,0,-23)),
SUMIFS(tb_Cartao_Credito_Detalhado[[Mês 25]:[Mês 25]],tb_Cartao_Credito_Detalhado[Mês/Ano],OFFSET(AH$4,0,-24)),
SUMIFS(tb_Cartao_Credito_Detalhado[[Mês 26]:[Mês 26]],tb_Cartao_Credito_Detalhado[Mês/Ano],OFFSET(AH$4,0,-25)),
SUMIFS(tb_Cartao_Credito_Detalhado[[Mês 27]:[Mês 27]],tb_Cartao_Credito_Detalhado[Mês/Ano],OFFSET(AH$4,0,-26)),
SUMIFS(tb_Cartao_Credito_Detalhado[[Mês 28]:[Mês 28]],tb_Cartao_Credito_Detalhado[Mês/Ano],OFFSET(AH$4,0,-27)),
SUMIFS(tb_Cartao_Credito_Detalhado[[Mês 29]:[Mês 29]],tb_Cartao_Credito_Detalhado[Mês/Ano],OFFSET(AH$4,0,-28)),
SUMIFS(tb_Cartao_Credito_Detalhado[[Mês 30]:[Mês 30]],tb_Cartao_Credito_Detalhado[Mês/Ano],OFFSET(AH$4,0,-29)),
SUMIFS(tb_Cartao_Credito_Detalhado[[Mês 31]:[Mês 31]],tb_Cartao_Credito_Detalhado[Mês/Ano],OFFSET(AH$4,0,-30)),
SUMIFS(tb_Cartao_Credito_Detalhado[[Mês 32]:[Mês 32]],tb_Cartao_Credito_Detalhado[Mês/Ano],OFFSET(AH$4,0,-31)),
SUMIFS(tb_Cartao_Credito_Detalhado[[Mês 33]:[Mês 33]],tb_Cartao_Credito_Detalhado[Mês/Ano],OFFSET(AH$4,0,-32)),
SUMIFS(tb_Cartao_Credito_Detalhado[[Mês 34]:[Mês 34]],tb_Cartao_Credito_Detalhado[Mês/Ano],OFFSET(AH$4,0,-33)),
SUMIFS(tb_Cartao_Credito_Detalhado[[Mês 35]:[Mês 35]],tb_Cartao_Credito_Detalhado[Mês/Ano],OFFSET(AH$4,0,-34)),
SUMIFS(tb_Cartao_Credito_Detalhado[[Mês 36]:[Mês 36]],tb_Cartao_Credito_Detalhado[Mês/Ano],OFFSET(AH$4,0,-35)),
SUMIFS(tb_Cartao_Credito_Detalhado[[Mês 37]:[Mês 37]],tb_Cartao_Credito_Detalhado[Mês/Ano],OFFSET(AH$4,0,-36)),
SUMIFS(tb_Cartao_Credito_Detalhado[[Mês 38]:[Mês 38]],tb_Cartao_Credito_Detalhado[Mês/Ano],OFFSET(AH$4,0,-37)),
SUMIFS(tb_Cartao_Credito_Detalhado[[Mês 39]:[Mês 39]],tb_Cartao_Credito_Detalhado[Mês/Ano],OFFSET(AH$4,0,-38)),
SUMIFS(tb_Cartao_Credito_Detalhado[[Mês 40]:[Mês 40]],tb_Cartao_Credito_Detalhado[Mês/Ano],OFFSET(AH$4,0,-39)),
SUMIFS(tb_Cartao_Credito_Detalhado[[Mês 41]:[Mês 41]],tb_Cartao_Credito_Detalhado[Mês/Ano],OFFSET(AH$4,0,-40)),
SUMIFS(tb_Cartao_Credito_Detalhado[[Mês 42]:[Mês 42]],tb_Cartao_Credito_Detalhado[Mês/Ano],OFFSET(AH$4,0,-41)),
SUMIFS(tb_Cartao_Credito_Detalhado[[Mês 43]:[Mês 43]],tb_Cartao_Credito_Detalhado[Mês/Ano],OFFSET(AH$4,0,-42)),
SUMIFS(tb_Cartao_Credito_Detalhado[[Mês 44]:[Mês 44]],tb_Cartao_Credito_Detalhado[Mês/Ano],OFFSET(AH$4,0,-43)),
SUMIFS(tb_Cartao_Credito_Detalhado[[Mês 45]:[Mês 45]],tb_Cartao_Credito_Detalhado[Mês/Ano],OFFSET(AH$4,0,-44)),
)</f>
        <v>133.33333333333334</v>
      </c>
      <c r="AI5" s="28">
        <f ca="1">SUM(
SUMIFS(tb_Cartao_Credito_Detalhado[[Mês 1]:[Mês 1]],tb_Cartao_Credito_Detalhado[Mês/Ano],AI$4),
SUMIFS(tb_Cartao_Credito_Detalhado[[Mês 2]:[Mês 2]],tb_Cartao_Credito_Detalhado[Mês/Ano],OFFSET(AI$4,0,-1)),
SUMIFS(tb_Cartao_Credito_Detalhado[[Mês 3]:[Mês 3]],tb_Cartao_Credito_Detalhado[Mês/Ano],OFFSET(AI$4,0,-2)),
SUMIFS(tb_Cartao_Credito_Detalhado[[Mês 4]:[Mês 4]],tb_Cartao_Credito_Detalhado[Mês/Ano],OFFSET(AI$4,0,-3)),
SUMIFS(tb_Cartao_Credito_Detalhado[[Mês 5]:[Mês 5]],tb_Cartao_Credito_Detalhado[Mês/Ano],OFFSET(AI$4,0,-4)),
SUMIFS(tb_Cartao_Credito_Detalhado[[Mês 6]:[Mês 6]],tb_Cartao_Credito_Detalhado[Mês/Ano],OFFSET(AI$4,0,-5)),
SUMIFS(tb_Cartao_Credito_Detalhado[[Mês 7]:[Mês 7]],tb_Cartao_Credito_Detalhado[Mês/Ano],OFFSET(AI$4,0,-6)),
SUMIFS(tb_Cartao_Credito_Detalhado[[Mês 8]:[Mês 8]],tb_Cartao_Credito_Detalhado[Mês/Ano],OFFSET(AI$4,0,-7)),
SUMIFS(tb_Cartao_Credito_Detalhado[[Mês 9]:[Mês 9]],tb_Cartao_Credito_Detalhado[Mês/Ano],OFFSET(AI$4,0,-8)),
SUMIFS(tb_Cartao_Credito_Detalhado[[Mês 10]:[Mês 10]],tb_Cartao_Credito_Detalhado[Mês/Ano],OFFSET(AI$4,0,-9)),
SUMIFS(tb_Cartao_Credito_Detalhado[[Mês 11]:[Mês 11]],tb_Cartao_Credito_Detalhado[Mês/Ano],OFFSET(AI$4,0,-10)),
SUMIFS(tb_Cartao_Credito_Detalhado[[Mês 12]:[Mês 12]],tb_Cartao_Credito_Detalhado[Mês/Ano],OFFSET(AI$4,0,-11)),
SUMIFS(tb_Cartao_Credito_Detalhado[[Mês 13]:[Mês 13]],tb_Cartao_Credito_Detalhado[Mês/Ano],OFFSET(AI$4,0,-12)),
SUMIFS(tb_Cartao_Credito_Detalhado[[Mês 14]:[Mês 14]],tb_Cartao_Credito_Detalhado[Mês/Ano],OFFSET(AI$4,0,-13)),
SUMIFS(tb_Cartao_Credito_Detalhado[[Mês 15]:[Mês 15]],tb_Cartao_Credito_Detalhado[Mês/Ano],OFFSET(AI$4,0,-14)),
SUMIFS(tb_Cartao_Credito_Detalhado[[Mês 16]:[Mês 16]],tb_Cartao_Credito_Detalhado[Mês/Ano],OFFSET(AI$4,0,-15)),
SUMIFS(tb_Cartao_Credito_Detalhado[[Mês 17]:[Mês 17]],tb_Cartao_Credito_Detalhado[Mês/Ano],OFFSET(AI$4,0,-16)),
SUMIFS(tb_Cartao_Credito_Detalhado[[Mês 18]:[Mês 18]],tb_Cartao_Credito_Detalhado[Mês/Ano],OFFSET(AI$4,0,-17)),
SUMIFS(tb_Cartao_Credito_Detalhado[[Mês 19]:[Mês 19]],tb_Cartao_Credito_Detalhado[Mês/Ano],OFFSET(AI$4,0,-18)),
SUMIFS(tb_Cartao_Credito_Detalhado[[Mês 20]:[Mês 20]],tb_Cartao_Credito_Detalhado[Mês/Ano],OFFSET(AI$4,0,-19)),
SUMIFS(tb_Cartao_Credito_Detalhado[[Mês 21]:[Mês 21]],tb_Cartao_Credito_Detalhado[Mês/Ano],OFFSET(AI$4,0,-20)),
SUMIFS(tb_Cartao_Credito_Detalhado[[Mês 22]:[Mês 22]],tb_Cartao_Credito_Detalhado[Mês/Ano],OFFSET(AI$4,0,-21)),
SUMIFS(tb_Cartao_Credito_Detalhado[[Mês 23]:[Mês 23]],tb_Cartao_Credito_Detalhado[Mês/Ano],OFFSET(AI$4,0,-22)),
SUMIFS(tb_Cartao_Credito_Detalhado[[Mês 24]:[Mês 24]],tb_Cartao_Credito_Detalhado[Mês/Ano],OFFSET(AI$4,0,-23)),
SUMIFS(tb_Cartao_Credito_Detalhado[[Mês 25]:[Mês 25]],tb_Cartao_Credito_Detalhado[Mês/Ano],OFFSET(AI$4,0,-24)),
SUMIFS(tb_Cartao_Credito_Detalhado[[Mês 26]:[Mês 26]],tb_Cartao_Credito_Detalhado[Mês/Ano],OFFSET(AI$4,0,-25)),
SUMIFS(tb_Cartao_Credito_Detalhado[[Mês 27]:[Mês 27]],tb_Cartao_Credito_Detalhado[Mês/Ano],OFFSET(AI$4,0,-26)),
SUMIFS(tb_Cartao_Credito_Detalhado[[Mês 28]:[Mês 28]],tb_Cartao_Credito_Detalhado[Mês/Ano],OFFSET(AI$4,0,-27)),
SUMIFS(tb_Cartao_Credito_Detalhado[[Mês 29]:[Mês 29]],tb_Cartao_Credito_Detalhado[Mês/Ano],OFFSET(AI$4,0,-28)),
SUMIFS(tb_Cartao_Credito_Detalhado[[Mês 30]:[Mês 30]],tb_Cartao_Credito_Detalhado[Mês/Ano],OFFSET(AI$4,0,-29)),
SUMIFS(tb_Cartao_Credito_Detalhado[[Mês 31]:[Mês 31]],tb_Cartao_Credito_Detalhado[Mês/Ano],OFFSET(AI$4,0,-30)),
SUMIFS(tb_Cartao_Credito_Detalhado[[Mês 32]:[Mês 32]],tb_Cartao_Credito_Detalhado[Mês/Ano],OFFSET(AI$4,0,-31)),
SUMIFS(tb_Cartao_Credito_Detalhado[[Mês 33]:[Mês 33]],tb_Cartao_Credito_Detalhado[Mês/Ano],OFFSET(AI$4,0,-32)),
SUMIFS(tb_Cartao_Credito_Detalhado[[Mês 34]:[Mês 34]],tb_Cartao_Credito_Detalhado[Mês/Ano],OFFSET(AI$4,0,-33)),
SUMIFS(tb_Cartao_Credito_Detalhado[[Mês 35]:[Mês 35]],tb_Cartao_Credito_Detalhado[Mês/Ano],OFFSET(AI$4,0,-34)),
SUMIFS(tb_Cartao_Credito_Detalhado[[Mês 36]:[Mês 36]],tb_Cartao_Credito_Detalhado[Mês/Ano],OFFSET(AI$4,0,-35)),
SUMIFS(tb_Cartao_Credito_Detalhado[[Mês 37]:[Mês 37]],tb_Cartao_Credito_Detalhado[Mês/Ano],OFFSET(AI$4,0,-36)),
SUMIFS(tb_Cartao_Credito_Detalhado[[Mês 38]:[Mês 38]],tb_Cartao_Credito_Detalhado[Mês/Ano],OFFSET(AI$4,0,-37)),
SUMIFS(tb_Cartao_Credito_Detalhado[[Mês 39]:[Mês 39]],tb_Cartao_Credito_Detalhado[Mês/Ano],OFFSET(AI$4,0,-38)),
SUMIFS(tb_Cartao_Credito_Detalhado[[Mês 40]:[Mês 40]],tb_Cartao_Credito_Detalhado[Mês/Ano],OFFSET(AI$4,0,-39)),
SUMIFS(tb_Cartao_Credito_Detalhado[[Mês 41]:[Mês 41]],tb_Cartao_Credito_Detalhado[Mês/Ano],OFFSET(AI$4,0,-40)),
SUMIFS(tb_Cartao_Credito_Detalhado[[Mês 42]:[Mês 42]],tb_Cartao_Credito_Detalhado[Mês/Ano],OFFSET(AI$4,0,-41)),
SUMIFS(tb_Cartao_Credito_Detalhado[[Mês 43]:[Mês 43]],tb_Cartao_Credito_Detalhado[Mês/Ano],OFFSET(AI$4,0,-42)),
SUMIFS(tb_Cartao_Credito_Detalhado[[Mês 44]:[Mês 44]],tb_Cartao_Credito_Detalhado[Mês/Ano],OFFSET(AI$4,0,-43)),
SUMIFS(tb_Cartao_Credito_Detalhado[[Mês 45]:[Mês 45]],tb_Cartao_Credito_Detalhado[Mês/Ano],OFFSET(AI$4,0,-44)),
)</f>
        <v>133.33333333333334</v>
      </c>
      <c r="AJ5" s="28">
        <f ca="1">SUM(
SUMIFS(tb_Cartao_Credito_Detalhado[[Mês 1]:[Mês 1]],tb_Cartao_Credito_Detalhado[Mês/Ano],AJ$4),
SUMIFS(tb_Cartao_Credito_Detalhado[[Mês 2]:[Mês 2]],tb_Cartao_Credito_Detalhado[Mês/Ano],OFFSET(AJ$4,0,-1)),
SUMIFS(tb_Cartao_Credito_Detalhado[[Mês 3]:[Mês 3]],tb_Cartao_Credito_Detalhado[Mês/Ano],OFFSET(AJ$4,0,-2)),
SUMIFS(tb_Cartao_Credito_Detalhado[[Mês 4]:[Mês 4]],tb_Cartao_Credito_Detalhado[Mês/Ano],OFFSET(AJ$4,0,-3)),
SUMIFS(tb_Cartao_Credito_Detalhado[[Mês 5]:[Mês 5]],tb_Cartao_Credito_Detalhado[Mês/Ano],OFFSET(AJ$4,0,-4)),
SUMIFS(tb_Cartao_Credito_Detalhado[[Mês 6]:[Mês 6]],tb_Cartao_Credito_Detalhado[Mês/Ano],OFFSET(AJ$4,0,-5)),
SUMIFS(tb_Cartao_Credito_Detalhado[[Mês 7]:[Mês 7]],tb_Cartao_Credito_Detalhado[Mês/Ano],OFFSET(AJ$4,0,-6)),
SUMIFS(tb_Cartao_Credito_Detalhado[[Mês 8]:[Mês 8]],tb_Cartao_Credito_Detalhado[Mês/Ano],OFFSET(AJ$4,0,-7)),
SUMIFS(tb_Cartao_Credito_Detalhado[[Mês 9]:[Mês 9]],tb_Cartao_Credito_Detalhado[Mês/Ano],OFFSET(AJ$4,0,-8)),
SUMIFS(tb_Cartao_Credito_Detalhado[[Mês 10]:[Mês 10]],tb_Cartao_Credito_Detalhado[Mês/Ano],OFFSET(AJ$4,0,-9)),
SUMIFS(tb_Cartao_Credito_Detalhado[[Mês 11]:[Mês 11]],tb_Cartao_Credito_Detalhado[Mês/Ano],OFFSET(AJ$4,0,-10)),
SUMIFS(tb_Cartao_Credito_Detalhado[[Mês 12]:[Mês 12]],tb_Cartao_Credito_Detalhado[Mês/Ano],OFFSET(AJ$4,0,-11)),
SUMIFS(tb_Cartao_Credito_Detalhado[[Mês 13]:[Mês 13]],tb_Cartao_Credito_Detalhado[Mês/Ano],OFFSET(AJ$4,0,-12)),
SUMIFS(tb_Cartao_Credito_Detalhado[[Mês 14]:[Mês 14]],tb_Cartao_Credito_Detalhado[Mês/Ano],OFFSET(AJ$4,0,-13)),
SUMIFS(tb_Cartao_Credito_Detalhado[[Mês 15]:[Mês 15]],tb_Cartao_Credito_Detalhado[Mês/Ano],OFFSET(AJ$4,0,-14)),
SUMIFS(tb_Cartao_Credito_Detalhado[[Mês 16]:[Mês 16]],tb_Cartao_Credito_Detalhado[Mês/Ano],OFFSET(AJ$4,0,-15)),
SUMIFS(tb_Cartao_Credito_Detalhado[[Mês 17]:[Mês 17]],tb_Cartao_Credito_Detalhado[Mês/Ano],OFFSET(AJ$4,0,-16)),
SUMIFS(tb_Cartao_Credito_Detalhado[[Mês 18]:[Mês 18]],tb_Cartao_Credito_Detalhado[Mês/Ano],OFFSET(AJ$4,0,-17)),
SUMIFS(tb_Cartao_Credito_Detalhado[[Mês 19]:[Mês 19]],tb_Cartao_Credito_Detalhado[Mês/Ano],OFFSET(AJ$4,0,-18)),
SUMIFS(tb_Cartao_Credito_Detalhado[[Mês 20]:[Mês 20]],tb_Cartao_Credito_Detalhado[Mês/Ano],OFFSET(AJ$4,0,-19)),
SUMIFS(tb_Cartao_Credito_Detalhado[[Mês 21]:[Mês 21]],tb_Cartao_Credito_Detalhado[Mês/Ano],OFFSET(AJ$4,0,-20)),
SUMIFS(tb_Cartao_Credito_Detalhado[[Mês 22]:[Mês 22]],tb_Cartao_Credito_Detalhado[Mês/Ano],OFFSET(AJ$4,0,-21)),
SUMIFS(tb_Cartao_Credito_Detalhado[[Mês 23]:[Mês 23]],tb_Cartao_Credito_Detalhado[Mês/Ano],OFFSET(AJ$4,0,-22)),
SUMIFS(tb_Cartao_Credito_Detalhado[[Mês 24]:[Mês 24]],tb_Cartao_Credito_Detalhado[Mês/Ano],OFFSET(AJ$4,0,-23)),
SUMIFS(tb_Cartao_Credito_Detalhado[[Mês 25]:[Mês 25]],tb_Cartao_Credito_Detalhado[Mês/Ano],OFFSET(AJ$4,0,-24)),
SUMIFS(tb_Cartao_Credito_Detalhado[[Mês 26]:[Mês 26]],tb_Cartao_Credito_Detalhado[Mês/Ano],OFFSET(AJ$4,0,-25)),
SUMIFS(tb_Cartao_Credito_Detalhado[[Mês 27]:[Mês 27]],tb_Cartao_Credito_Detalhado[Mês/Ano],OFFSET(AJ$4,0,-26)),
SUMIFS(tb_Cartao_Credito_Detalhado[[Mês 28]:[Mês 28]],tb_Cartao_Credito_Detalhado[Mês/Ano],OFFSET(AJ$4,0,-27)),
SUMIFS(tb_Cartao_Credito_Detalhado[[Mês 29]:[Mês 29]],tb_Cartao_Credito_Detalhado[Mês/Ano],OFFSET(AJ$4,0,-28)),
SUMIFS(tb_Cartao_Credito_Detalhado[[Mês 30]:[Mês 30]],tb_Cartao_Credito_Detalhado[Mês/Ano],OFFSET(AJ$4,0,-29)),
SUMIFS(tb_Cartao_Credito_Detalhado[[Mês 31]:[Mês 31]],tb_Cartao_Credito_Detalhado[Mês/Ano],OFFSET(AJ$4,0,-30)),
SUMIFS(tb_Cartao_Credito_Detalhado[[Mês 32]:[Mês 32]],tb_Cartao_Credito_Detalhado[Mês/Ano],OFFSET(AJ$4,0,-31)),
SUMIFS(tb_Cartao_Credito_Detalhado[[Mês 33]:[Mês 33]],tb_Cartao_Credito_Detalhado[Mês/Ano],OFFSET(AJ$4,0,-32)),
SUMIFS(tb_Cartao_Credito_Detalhado[[Mês 34]:[Mês 34]],tb_Cartao_Credito_Detalhado[Mês/Ano],OFFSET(AJ$4,0,-33)),
SUMIFS(tb_Cartao_Credito_Detalhado[[Mês 35]:[Mês 35]],tb_Cartao_Credito_Detalhado[Mês/Ano],OFFSET(AJ$4,0,-34)),
SUMIFS(tb_Cartao_Credito_Detalhado[[Mês 36]:[Mês 36]],tb_Cartao_Credito_Detalhado[Mês/Ano],OFFSET(AJ$4,0,-35)),
SUMIFS(tb_Cartao_Credito_Detalhado[[Mês 37]:[Mês 37]],tb_Cartao_Credito_Detalhado[Mês/Ano],OFFSET(AJ$4,0,-36)),
SUMIFS(tb_Cartao_Credito_Detalhado[[Mês 38]:[Mês 38]],tb_Cartao_Credito_Detalhado[Mês/Ano],OFFSET(AJ$4,0,-37)),
SUMIFS(tb_Cartao_Credito_Detalhado[[Mês 39]:[Mês 39]],tb_Cartao_Credito_Detalhado[Mês/Ano],OFFSET(AJ$4,0,-38)),
SUMIFS(tb_Cartao_Credito_Detalhado[[Mês 40]:[Mês 40]],tb_Cartao_Credito_Detalhado[Mês/Ano],OFFSET(AJ$4,0,-39)),
SUMIFS(tb_Cartao_Credito_Detalhado[[Mês 41]:[Mês 41]],tb_Cartao_Credito_Detalhado[Mês/Ano],OFFSET(AJ$4,0,-40)),
SUMIFS(tb_Cartao_Credito_Detalhado[[Mês 42]:[Mês 42]],tb_Cartao_Credito_Detalhado[Mês/Ano],OFFSET(AJ$4,0,-41)),
SUMIFS(tb_Cartao_Credito_Detalhado[[Mês 43]:[Mês 43]],tb_Cartao_Credito_Detalhado[Mês/Ano],OFFSET(AJ$4,0,-42)),
SUMIFS(tb_Cartao_Credito_Detalhado[[Mês 44]:[Mês 44]],tb_Cartao_Credito_Detalhado[Mês/Ano],OFFSET(AJ$4,0,-43)),
SUMIFS(tb_Cartao_Credito_Detalhado[[Mês 45]:[Mês 45]],tb_Cartao_Credito_Detalhado[Mês/Ano],OFFSET(AJ$4,0,-44)),
)</f>
        <v>133.33333333333334</v>
      </c>
      <c r="AK5" s="28">
        <f ca="1">SUM(
SUMIFS(tb_Cartao_Credito_Detalhado[[Mês 1]:[Mês 1]],tb_Cartao_Credito_Detalhado[Mês/Ano],AK$4),
SUMIFS(tb_Cartao_Credito_Detalhado[[Mês 2]:[Mês 2]],tb_Cartao_Credito_Detalhado[Mês/Ano],OFFSET(AK$4,0,-1)),
SUMIFS(tb_Cartao_Credito_Detalhado[[Mês 3]:[Mês 3]],tb_Cartao_Credito_Detalhado[Mês/Ano],OFFSET(AK$4,0,-2)),
SUMIFS(tb_Cartao_Credito_Detalhado[[Mês 4]:[Mês 4]],tb_Cartao_Credito_Detalhado[Mês/Ano],OFFSET(AK$4,0,-3)),
SUMIFS(tb_Cartao_Credito_Detalhado[[Mês 5]:[Mês 5]],tb_Cartao_Credito_Detalhado[Mês/Ano],OFFSET(AK$4,0,-4)),
SUMIFS(tb_Cartao_Credito_Detalhado[[Mês 6]:[Mês 6]],tb_Cartao_Credito_Detalhado[Mês/Ano],OFFSET(AK$4,0,-5)),
SUMIFS(tb_Cartao_Credito_Detalhado[[Mês 7]:[Mês 7]],tb_Cartao_Credito_Detalhado[Mês/Ano],OFFSET(AK$4,0,-6)),
SUMIFS(tb_Cartao_Credito_Detalhado[[Mês 8]:[Mês 8]],tb_Cartao_Credito_Detalhado[Mês/Ano],OFFSET(AK$4,0,-7)),
SUMIFS(tb_Cartao_Credito_Detalhado[[Mês 9]:[Mês 9]],tb_Cartao_Credito_Detalhado[Mês/Ano],OFFSET(AK$4,0,-8)),
SUMIFS(tb_Cartao_Credito_Detalhado[[Mês 10]:[Mês 10]],tb_Cartao_Credito_Detalhado[Mês/Ano],OFFSET(AK$4,0,-9)),
SUMIFS(tb_Cartao_Credito_Detalhado[[Mês 11]:[Mês 11]],tb_Cartao_Credito_Detalhado[Mês/Ano],OFFSET(AK$4,0,-10)),
SUMIFS(tb_Cartao_Credito_Detalhado[[Mês 12]:[Mês 12]],tb_Cartao_Credito_Detalhado[Mês/Ano],OFFSET(AK$4,0,-11)),
SUMIFS(tb_Cartao_Credito_Detalhado[[Mês 13]:[Mês 13]],tb_Cartao_Credito_Detalhado[Mês/Ano],OFFSET(AK$4,0,-12)),
SUMIFS(tb_Cartao_Credito_Detalhado[[Mês 14]:[Mês 14]],tb_Cartao_Credito_Detalhado[Mês/Ano],OFFSET(AK$4,0,-13)),
SUMIFS(tb_Cartao_Credito_Detalhado[[Mês 15]:[Mês 15]],tb_Cartao_Credito_Detalhado[Mês/Ano],OFFSET(AK$4,0,-14)),
SUMIFS(tb_Cartao_Credito_Detalhado[[Mês 16]:[Mês 16]],tb_Cartao_Credito_Detalhado[Mês/Ano],OFFSET(AK$4,0,-15)),
SUMIFS(tb_Cartao_Credito_Detalhado[[Mês 17]:[Mês 17]],tb_Cartao_Credito_Detalhado[Mês/Ano],OFFSET(AK$4,0,-16)),
SUMIFS(tb_Cartao_Credito_Detalhado[[Mês 18]:[Mês 18]],tb_Cartao_Credito_Detalhado[Mês/Ano],OFFSET(AK$4,0,-17)),
SUMIFS(tb_Cartao_Credito_Detalhado[[Mês 19]:[Mês 19]],tb_Cartao_Credito_Detalhado[Mês/Ano],OFFSET(AK$4,0,-18)),
SUMIFS(tb_Cartao_Credito_Detalhado[[Mês 20]:[Mês 20]],tb_Cartao_Credito_Detalhado[Mês/Ano],OFFSET(AK$4,0,-19)),
SUMIFS(tb_Cartao_Credito_Detalhado[[Mês 21]:[Mês 21]],tb_Cartao_Credito_Detalhado[Mês/Ano],OFFSET(AK$4,0,-20)),
SUMIFS(tb_Cartao_Credito_Detalhado[[Mês 22]:[Mês 22]],tb_Cartao_Credito_Detalhado[Mês/Ano],OFFSET(AK$4,0,-21)),
SUMIFS(tb_Cartao_Credito_Detalhado[[Mês 23]:[Mês 23]],tb_Cartao_Credito_Detalhado[Mês/Ano],OFFSET(AK$4,0,-22)),
SUMIFS(tb_Cartao_Credito_Detalhado[[Mês 24]:[Mês 24]],tb_Cartao_Credito_Detalhado[Mês/Ano],OFFSET(AK$4,0,-23)),
SUMIFS(tb_Cartao_Credito_Detalhado[[Mês 25]:[Mês 25]],tb_Cartao_Credito_Detalhado[Mês/Ano],OFFSET(AK$4,0,-24)),
SUMIFS(tb_Cartao_Credito_Detalhado[[Mês 26]:[Mês 26]],tb_Cartao_Credito_Detalhado[Mês/Ano],OFFSET(AK$4,0,-25)),
SUMIFS(tb_Cartao_Credito_Detalhado[[Mês 27]:[Mês 27]],tb_Cartao_Credito_Detalhado[Mês/Ano],OFFSET(AK$4,0,-26)),
SUMIFS(tb_Cartao_Credito_Detalhado[[Mês 28]:[Mês 28]],tb_Cartao_Credito_Detalhado[Mês/Ano],OFFSET(AK$4,0,-27)),
SUMIFS(tb_Cartao_Credito_Detalhado[[Mês 29]:[Mês 29]],tb_Cartao_Credito_Detalhado[Mês/Ano],OFFSET(AK$4,0,-28)),
SUMIFS(tb_Cartao_Credito_Detalhado[[Mês 30]:[Mês 30]],tb_Cartao_Credito_Detalhado[Mês/Ano],OFFSET(AK$4,0,-29)),
SUMIFS(tb_Cartao_Credito_Detalhado[[Mês 31]:[Mês 31]],tb_Cartao_Credito_Detalhado[Mês/Ano],OFFSET(AK$4,0,-30)),
SUMIFS(tb_Cartao_Credito_Detalhado[[Mês 32]:[Mês 32]],tb_Cartao_Credito_Detalhado[Mês/Ano],OFFSET(AK$4,0,-31)),
SUMIFS(tb_Cartao_Credito_Detalhado[[Mês 33]:[Mês 33]],tb_Cartao_Credito_Detalhado[Mês/Ano],OFFSET(AK$4,0,-32)),
SUMIFS(tb_Cartao_Credito_Detalhado[[Mês 34]:[Mês 34]],tb_Cartao_Credito_Detalhado[Mês/Ano],OFFSET(AK$4,0,-33)),
SUMIFS(tb_Cartao_Credito_Detalhado[[Mês 35]:[Mês 35]],tb_Cartao_Credito_Detalhado[Mês/Ano],OFFSET(AK$4,0,-34)),
SUMIFS(tb_Cartao_Credito_Detalhado[[Mês 36]:[Mês 36]],tb_Cartao_Credito_Detalhado[Mês/Ano],OFFSET(AK$4,0,-35)),
SUMIFS(tb_Cartao_Credito_Detalhado[[Mês 37]:[Mês 37]],tb_Cartao_Credito_Detalhado[Mês/Ano],OFFSET(AK$4,0,-36)),
SUMIFS(tb_Cartao_Credito_Detalhado[[Mês 38]:[Mês 38]],tb_Cartao_Credito_Detalhado[Mês/Ano],OFFSET(AK$4,0,-37)),
SUMIFS(tb_Cartao_Credito_Detalhado[[Mês 39]:[Mês 39]],tb_Cartao_Credito_Detalhado[Mês/Ano],OFFSET(AK$4,0,-38)),
SUMIFS(tb_Cartao_Credito_Detalhado[[Mês 40]:[Mês 40]],tb_Cartao_Credito_Detalhado[Mês/Ano],OFFSET(AK$4,0,-39)),
SUMIFS(tb_Cartao_Credito_Detalhado[[Mês 41]:[Mês 41]],tb_Cartao_Credito_Detalhado[Mês/Ano],OFFSET(AK$4,0,-40)),
SUMIFS(tb_Cartao_Credito_Detalhado[[Mês 42]:[Mês 42]],tb_Cartao_Credito_Detalhado[Mês/Ano],OFFSET(AK$4,0,-41)),
SUMIFS(tb_Cartao_Credito_Detalhado[[Mês 43]:[Mês 43]],tb_Cartao_Credito_Detalhado[Mês/Ano],OFFSET(AK$4,0,-42)),
SUMIFS(tb_Cartao_Credito_Detalhado[[Mês 44]:[Mês 44]],tb_Cartao_Credito_Detalhado[Mês/Ano],OFFSET(AK$4,0,-43)),
SUMIFS(tb_Cartao_Credito_Detalhado[[Mês 45]:[Mês 45]],tb_Cartao_Credito_Detalhado[Mês/Ano],OFFSET(AK$4,0,-44)),
)</f>
        <v>133.33333333333334</v>
      </c>
      <c r="AL5" s="28">
        <f ca="1">SUM(
SUMIFS(tb_Cartao_Credito_Detalhado[[Mês 1]:[Mês 1]],tb_Cartao_Credito_Detalhado[Mês/Ano],AL$4),
SUMIFS(tb_Cartao_Credito_Detalhado[[Mês 2]:[Mês 2]],tb_Cartao_Credito_Detalhado[Mês/Ano],OFFSET(AL$4,0,-1)),
SUMIFS(tb_Cartao_Credito_Detalhado[[Mês 3]:[Mês 3]],tb_Cartao_Credito_Detalhado[Mês/Ano],OFFSET(AL$4,0,-2)),
SUMIFS(tb_Cartao_Credito_Detalhado[[Mês 4]:[Mês 4]],tb_Cartao_Credito_Detalhado[Mês/Ano],OFFSET(AL$4,0,-3)),
SUMIFS(tb_Cartao_Credito_Detalhado[[Mês 5]:[Mês 5]],tb_Cartao_Credito_Detalhado[Mês/Ano],OFFSET(AL$4,0,-4)),
SUMIFS(tb_Cartao_Credito_Detalhado[[Mês 6]:[Mês 6]],tb_Cartao_Credito_Detalhado[Mês/Ano],OFFSET(AL$4,0,-5)),
SUMIFS(tb_Cartao_Credito_Detalhado[[Mês 7]:[Mês 7]],tb_Cartao_Credito_Detalhado[Mês/Ano],OFFSET(AL$4,0,-6)),
SUMIFS(tb_Cartao_Credito_Detalhado[[Mês 8]:[Mês 8]],tb_Cartao_Credito_Detalhado[Mês/Ano],OFFSET(AL$4,0,-7)),
SUMIFS(tb_Cartao_Credito_Detalhado[[Mês 9]:[Mês 9]],tb_Cartao_Credito_Detalhado[Mês/Ano],OFFSET(AL$4,0,-8)),
SUMIFS(tb_Cartao_Credito_Detalhado[[Mês 10]:[Mês 10]],tb_Cartao_Credito_Detalhado[Mês/Ano],OFFSET(AL$4,0,-9)),
SUMIFS(tb_Cartao_Credito_Detalhado[[Mês 11]:[Mês 11]],tb_Cartao_Credito_Detalhado[Mês/Ano],OFFSET(AL$4,0,-10)),
SUMIFS(tb_Cartao_Credito_Detalhado[[Mês 12]:[Mês 12]],tb_Cartao_Credito_Detalhado[Mês/Ano],OFFSET(AL$4,0,-11)),
SUMIFS(tb_Cartao_Credito_Detalhado[[Mês 13]:[Mês 13]],tb_Cartao_Credito_Detalhado[Mês/Ano],OFFSET(AL$4,0,-12)),
SUMIFS(tb_Cartao_Credito_Detalhado[[Mês 14]:[Mês 14]],tb_Cartao_Credito_Detalhado[Mês/Ano],OFFSET(AL$4,0,-13)),
SUMIFS(tb_Cartao_Credito_Detalhado[[Mês 15]:[Mês 15]],tb_Cartao_Credito_Detalhado[Mês/Ano],OFFSET(AL$4,0,-14)),
SUMIFS(tb_Cartao_Credito_Detalhado[[Mês 16]:[Mês 16]],tb_Cartao_Credito_Detalhado[Mês/Ano],OFFSET(AL$4,0,-15)),
SUMIFS(tb_Cartao_Credito_Detalhado[[Mês 17]:[Mês 17]],tb_Cartao_Credito_Detalhado[Mês/Ano],OFFSET(AL$4,0,-16)),
SUMIFS(tb_Cartao_Credito_Detalhado[[Mês 18]:[Mês 18]],tb_Cartao_Credito_Detalhado[Mês/Ano],OFFSET(AL$4,0,-17)),
SUMIFS(tb_Cartao_Credito_Detalhado[[Mês 19]:[Mês 19]],tb_Cartao_Credito_Detalhado[Mês/Ano],OFFSET(AL$4,0,-18)),
SUMIFS(tb_Cartao_Credito_Detalhado[[Mês 20]:[Mês 20]],tb_Cartao_Credito_Detalhado[Mês/Ano],OFFSET(AL$4,0,-19)),
SUMIFS(tb_Cartao_Credito_Detalhado[[Mês 21]:[Mês 21]],tb_Cartao_Credito_Detalhado[Mês/Ano],OFFSET(AL$4,0,-20)),
SUMIFS(tb_Cartao_Credito_Detalhado[[Mês 22]:[Mês 22]],tb_Cartao_Credito_Detalhado[Mês/Ano],OFFSET(AL$4,0,-21)),
SUMIFS(tb_Cartao_Credito_Detalhado[[Mês 23]:[Mês 23]],tb_Cartao_Credito_Detalhado[Mês/Ano],OFFSET(AL$4,0,-22)),
SUMIFS(tb_Cartao_Credito_Detalhado[[Mês 24]:[Mês 24]],tb_Cartao_Credito_Detalhado[Mês/Ano],OFFSET(AL$4,0,-23)),
SUMIFS(tb_Cartao_Credito_Detalhado[[Mês 25]:[Mês 25]],tb_Cartao_Credito_Detalhado[Mês/Ano],OFFSET(AL$4,0,-24)),
SUMIFS(tb_Cartao_Credito_Detalhado[[Mês 26]:[Mês 26]],tb_Cartao_Credito_Detalhado[Mês/Ano],OFFSET(AL$4,0,-25)),
SUMIFS(tb_Cartao_Credito_Detalhado[[Mês 27]:[Mês 27]],tb_Cartao_Credito_Detalhado[Mês/Ano],OFFSET(AL$4,0,-26)),
SUMIFS(tb_Cartao_Credito_Detalhado[[Mês 28]:[Mês 28]],tb_Cartao_Credito_Detalhado[Mês/Ano],OFFSET(AL$4,0,-27)),
SUMIFS(tb_Cartao_Credito_Detalhado[[Mês 29]:[Mês 29]],tb_Cartao_Credito_Detalhado[Mês/Ano],OFFSET(AL$4,0,-28)),
SUMIFS(tb_Cartao_Credito_Detalhado[[Mês 30]:[Mês 30]],tb_Cartao_Credito_Detalhado[Mês/Ano],OFFSET(AL$4,0,-29)),
SUMIFS(tb_Cartao_Credito_Detalhado[[Mês 31]:[Mês 31]],tb_Cartao_Credito_Detalhado[Mês/Ano],OFFSET(AL$4,0,-30)),
SUMIFS(tb_Cartao_Credito_Detalhado[[Mês 32]:[Mês 32]],tb_Cartao_Credito_Detalhado[Mês/Ano],OFFSET(AL$4,0,-31)),
SUMIFS(tb_Cartao_Credito_Detalhado[[Mês 33]:[Mês 33]],tb_Cartao_Credito_Detalhado[Mês/Ano],OFFSET(AL$4,0,-32)),
SUMIFS(tb_Cartao_Credito_Detalhado[[Mês 34]:[Mês 34]],tb_Cartao_Credito_Detalhado[Mês/Ano],OFFSET(AL$4,0,-33)),
SUMIFS(tb_Cartao_Credito_Detalhado[[Mês 35]:[Mês 35]],tb_Cartao_Credito_Detalhado[Mês/Ano],OFFSET(AL$4,0,-34)),
SUMIFS(tb_Cartao_Credito_Detalhado[[Mês 36]:[Mês 36]],tb_Cartao_Credito_Detalhado[Mês/Ano],OFFSET(AL$4,0,-35)),
SUMIFS(tb_Cartao_Credito_Detalhado[[Mês 37]:[Mês 37]],tb_Cartao_Credito_Detalhado[Mês/Ano],OFFSET(AL$4,0,-36)),
SUMIFS(tb_Cartao_Credito_Detalhado[[Mês 38]:[Mês 38]],tb_Cartao_Credito_Detalhado[Mês/Ano],OFFSET(AL$4,0,-37)),
SUMIFS(tb_Cartao_Credito_Detalhado[[Mês 39]:[Mês 39]],tb_Cartao_Credito_Detalhado[Mês/Ano],OFFSET(AL$4,0,-38)),
SUMIFS(tb_Cartao_Credito_Detalhado[[Mês 40]:[Mês 40]],tb_Cartao_Credito_Detalhado[Mês/Ano],OFFSET(AL$4,0,-39)),
SUMIFS(tb_Cartao_Credito_Detalhado[[Mês 41]:[Mês 41]],tb_Cartao_Credito_Detalhado[Mês/Ano],OFFSET(AL$4,0,-40)),
SUMIFS(tb_Cartao_Credito_Detalhado[[Mês 42]:[Mês 42]],tb_Cartao_Credito_Detalhado[Mês/Ano],OFFSET(AL$4,0,-41)),
SUMIFS(tb_Cartao_Credito_Detalhado[[Mês 43]:[Mês 43]],tb_Cartao_Credito_Detalhado[Mês/Ano],OFFSET(AL$4,0,-42)),
SUMIFS(tb_Cartao_Credito_Detalhado[[Mês 44]:[Mês 44]],tb_Cartao_Credito_Detalhado[Mês/Ano],OFFSET(AL$4,0,-43)),
SUMIFS(tb_Cartao_Credito_Detalhado[[Mês 45]:[Mês 45]],tb_Cartao_Credito_Detalhado[Mês/Ano],OFFSET(AL$4,0,-44)),
)</f>
        <v>133.33333333333334</v>
      </c>
      <c r="AM5" s="28">
        <f ca="1">SUM(
SUMIFS(tb_Cartao_Credito_Detalhado[[Mês 1]:[Mês 1]],tb_Cartao_Credito_Detalhado[Mês/Ano],AM$4),
SUMIFS(tb_Cartao_Credito_Detalhado[[Mês 2]:[Mês 2]],tb_Cartao_Credito_Detalhado[Mês/Ano],OFFSET(AM$4,0,-1)),
SUMIFS(tb_Cartao_Credito_Detalhado[[Mês 3]:[Mês 3]],tb_Cartao_Credito_Detalhado[Mês/Ano],OFFSET(AM$4,0,-2)),
SUMIFS(tb_Cartao_Credito_Detalhado[[Mês 4]:[Mês 4]],tb_Cartao_Credito_Detalhado[Mês/Ano],OFFSET(AM$4,0,-3)),
SUMIFS(tb_Cartao_Credito_Detalhado[[Mês 5]:[Mês 5]],tb_Cartao_Credito_Detalhado[Mês/Ano],OFFSET(AM$4,0,-4)),
SUMIFS(tb_Cartao_Credito_Detalhado[[Mês 6]:[Mês 6]],tb_Cartao_Credito_Detalhado[Mês/Ano],OFFSET(AM$4,0,-5)),
SUMIFS(tb_Cartao_Credito_Detalhado[[Mês 7]:[Mês 7]],tb_Cartao_Credito_Detalhado[Mês/Ano],OFFSET(AM$4,0,-6)),
SUMIFS(tb_Cartao_Credito_Detalhado[[Mês 8]:[Mês 8]],tb_Cartao_Credito_Detalhado[Mês/Ano],OFFSET(AM$4,0,-7)),
SUMIFS(tb_Cartao_Credito_Detalhado[[Mês 9]:[Mês 9]],tb_Cartao_Credito_Detalhado[Mês/Ano],OFFSET(AM$4,0,-8)),
SUMIFS(tb_Cartao_Credito_Detalhado[[Mês 10]:[Mês 10]],tb_Cartao_Credito_Detalhado[Mês/Ano],OFFSET(AM$4,0,-9)),
SUMIFS(tb_Cartao_Credito_Detalhado[[Mês 11]:[Mês 11]],tb_Cartao_Credito_Detalhado[Mês/Ano],OFFSET(AM$4,0,-10)),
SUMIFS(tb_Cartao_Credito_Detalhado[[Mês 12]:[Mês 12]],tb_Cartao_Credito_Detalhado[Mês/Ano],OFFSET(AM$4,0,-11)),
SUMIFS(tb_Cartao_Credito_Detalhado[[Mês 13]:[Mês 13]],tb_Cartao_Credito_Detalhado[Mês/Ano],OFFSET(AM$4,0,-12)),
SUMIFS(tb_Cartao_Credito_Detalhado[[Mês 14]:[Mês 14]],tb_Cartao_Credito_Detalhado[Mês/Ano],OFFSET(AM$4,0,-13)),
SUMIFS(tb_Cartao_Credito_Detalhado[[Mês 15]:[Mês 15]],tb_Cartao_Credito_Detalhado[Mês/Ano],OFFSET(AM$4,0,-14)),
SUMIFS(tb_Cartao_Credito_Detalhado[[Mês 16]:[Mês 16]],tb_Cartao_Credito_Detalhado[Mês/Ano],OFFSET(AM$4,0,-15)),
SUMIFS(tb_Cartao_Credito_Detalhado[[Mês 17]:[Mês 17]],tb_Cartao_Credito_Detalhado[Mês/Ano],OFFSET(AM$4,0,-16)),
SUMIFS(tb_Cartao_Credito_Detalhado[[Mês 18]:[Mês 18]],tb_Cartao_Credito_Detalhado[Mês/Ano],OFFSET(AM$4,0,-17)),
SUMIFS(tb_Cartao_Credito_Detalhado[[Mês 19]:[Mês 19]],tb_Cartao_Credito_Detalhado[Mês/Ano],OFFSET(AM$4,0,-18)),
SUMIFS(tb_Cartao_Credito_Detalhado[[Mês 20]:[Mês 20]],tb_Cartao_Credito_Detalhado[Mês/Ano],OFFSET(AM$4,0,-19)),
SUMIFS(tb_Cartao_Credito_Detalhado[[Mês 21]:[Mês 21]],tb_Cartao_Credito_Detalhado[Mês/Ano],OFFSET(AM$4,0,-20)),
SUMIFS(tb_Cartao_Credito_Detalhado[[Mês 22]:[Mês 22]],tb_Cartao_Credito_Detalhado[Mês/Ano],OFFSET(AM$4,0,-21)),
SUMIFS(tb_Cartao_Credito_Detalhado[[Mês 23]:[Mês 23]],tb_Cartao_Credito_Detalhado[Mês/Ano],OFFSET(AM$4,0,-22)),
SUMIFS(tb_Cartao_Credito_Detalhado[[Mês 24]:[Mês 24]],tb_Cartao_Credito_Detalhado[Mês/Ano],OFFSET(AM$4,0,-23)),
SUMIFS(tb_Cartao_Credito_Detalhado[[Mês 25]:[Mês 25]],tb_Cartao_Credito_Detalhado[Mês/Ano],OFFSET(AM$4,0,-24)),
SUMIFS(tb_Cartao_Credito_Detalhado[[Mês 26]:[Mês 26]],tb_Cartao_Credito_Detalhado[Mês/Ano],OFFSET(AM$4,0,-25)),
SUMIFS(tb_Cartao_Credito_Detalhado[[Mês 27]:[Mês 27]],tb_Cartao_Credito_Detalhado[Mês/Ano],OFFSET(AM$4,0,-26)),
SUMIFS(tb_Cartao_Credito_Detalhado[[Mês 28]:[Mês 28]],tb_Cartao_Credito_Detalhado[Mês/Ano],OFFSET(AM$4,0,-27)),
SUMIFS(tb_Cartao_Credito_Detalhado[[Mês 29]:[Mês 29]],tb_Cartao_Credito_Detalhado[Mês/Ano],OFFSET(AM$4,0,-28)),
SUMIFS(tb_Cartao_Credito_Detalhado[[Mês 30]:[Mês 30]],tb_Cartao_Credito_Detalhado[Mês/Ano],OFFSET(AM$4,0,-29)),
SUMIFS(tb_Cartao_Credito_Detalhado[[Mês 31]:[Mês 31]],tb_Cartao_Credito_Detalhado[Mês/Ano],OFFSET(AM$4,0,-30)),
SUMIFS(tb_Cartao_Credito_Detalhado[[Mês 32]:[Mês 32]],tb_Cartao_Credito_Detalhado[Mês/Ano],OFFSET(AM$4,0,-31)),
SUMIFS(tb_Cartao_Credito_Detalhado[[Mês 33]:[Mês 33]],tb_Cartao_Credito_Detalhado[Mês/Ano],OFFSET(AM$4,0,-32)),
SUMIFS(tb_Cartao_Credito_Detalhado[[Mês 34]:[Mês 34]],tb_Cartao_Credito_Detalhado[Mês/Ano],OFFSET(AM$4,0,-33)),
SUMIFS(tb_Cartao_Credito_Detalhado[[Mês 35]:[Mês 35]],tb_Cartao_Credito_Detalhado[Mês/Ano],OFFSET(AM$4,0,-34)),
SUMIFS(tb_Cartao_Credito_Detalhado[[Mês 36]:[Mês 36]],tb_Cartao_Credito_Detalhado[Mês/Ano],OFFSET(AM$4,0,-35)),
SUMIFS(tb_Cartao_Credito_Detalhado[[Mês 37]:[Mês 37]],tb_Cartao_Credito_Detalhado[Mês/Ano],OFFSET(AM$4,0,-36)),
SUMIFS(tb_Cartao_Credito_Detalhado[[Mês 38]:[Mês 38]],tb_Cartao_Credito_Detalhado[Mês/Ano],OFFSET(AM$4,0,-37)),
SUMIFS(tb_Cartao_Credito_Detalhado[[Mês 39]:[Mês 39]],tb_Cartao_Credito_Detalhado[Mês/Ano],OFFSET(AM$4,0,-38)),
SUMIFS(tb_Cartao_Credito_Detalhado[[Mês 40]:[Mês 40]],tb_Cartao_Credito_Detalhado[Mês/Ano],OFFSET(AM$4,0,-39)),
SUMIFS(tb_Cartao_Credito_Detalhado[[Mês 41]:[Mês 41]],tb_Cartao_Credito_Detalhado[Mês/Ano],OFFSET(AM$4,0,-40)),
SUMIFS(tb_Cartao_Credito_Detalhado[[Mês 42]:[Mês 42]],tb_Cartao_Credito_Detalhado[Mês/Ano],OFFSET(AM$4,0,-41)),
SUMIFS(tb_Cartao_Credito_Detalhado[[Mês 43]:[Mês 43]],tb_Cartao_Credito_Detalhado[Mês/Ano],OFFSET(AM$4,0,-42)),
SUMIFS(tb_Cartao_Credito_Detalhado[[Mês 44]:[Mês 44]],tb_Cartao_Credito_Detalhado[Mês/Ano],OFFSET(AM$4,0,-43)),
SUMIFS(tb_Cartao_Credito_Detalhado[[Mês 45]:[Mês 45]],tb_Cartao_Credito_Detalhado[Mês/Ano],OFFSET(AM$4,0,-44)),
)</f>
        <v>133.33333333333334</v>
      </c>
      <c r="AN5" s="28">
        <f ca="1">SUM(
SUMIFS(tb_Cartao_Credito_Detalhado[[Mês 1]:[Mês 1]],tb_Cartao_Credito_Detalhado[Mês/Ano],AN$4),
SUMIFS(tb_Cartao_Credito_Detalhado[[Mês 2]:[Mês 2]],tb_Cartao_Credito_Detalhado[Mês/Ano],OFFSET(AN$4,0,-1)),
SUMIFS(tb_Cartao_Credito_Detalhado[[Mês 3]:[Mês 3]],tb_Cartao_Credito_Detalhado[Mês/Ano],OFFSET(AN$4,0,-2)),
SUMIFS(tb_Cartao_Credito_Detalhado[[Mês 4]:[Mês 4]],tb_Cartao_Credito_Detalhado[Mês/Ano],OFFSET(AN$4,0,-3)),
SUMIFS(tb_Cartao_Credito_Detalhado[[Mês 5]:[Mês 5]],tb_Cartao_Credito_Detalhado[Mês/Ano],OFFSET(AN$4,0,-4)),
SUMIFS(tb_Cartao_Credito_Detalhado[[Mês 6]:[Mês 6]],tb_Cartao_Credito_Detalhado[Mês/Ano],OFFSET(AN$4,0,-5)),
SUMIFS(tb_Cartao_Credito_Detalhado[[Mês 7]:[Mês 7]],tb_Cartao_Credito_Detalhado[Mês/Ano],OFFSET(AN$4,0,-6)),
SUMIFS(tb_Cartao_Credito_Detalhado[[Mês 8]:[Mês 8]],tb_Cartao_Credito_Detalhado[Mês/Ano],OFFSET(AN$4,0,-7)),
SUMIFS(tb_Cartao_Credito_Detalhado[[Mês 9]:[Mês 9]],tb_Cartao_Credito_Detalhado[Mês/Ano],OFFSET(AN$4,0,-8)),
SUMIFS(tb_Cartao_Credito_Detalhado[[Mês 10]:[Mês 10]],tb_Cartao_Credito_Detalhado[Mês/Ano],OFFSET(AN$4,0,-9)),
SUMIFS(tb_Cartao_Credito_Detalhado[[Mês 11]:[Mês 11]],tb_Cartao_Credito_Detalhado[Mês/Ano],OFFSET(AN$4,0,-10)),
SUMIFS(tb_Cartao_Credito_Detalhado[[Mês 12]:[Mês 12]],tb_Cartao_Credito_Detalhado[Mês/Ano],OFFSET(AN$4,0,-11)),
SUMIFS(tb_Cartao_Credito_Detalhado[[Mês 13]:[Mês 13]],tb_Cartao_Credito_Detalhado[Mês/Ano],OFFSET(AN$4,0,-12)),
SUMIFS(tb_Cartao_Credito_Detalhado[[Mês 14]:[Mês 14]],tb_Cartao_Credito_Detalhado[Mês/Ano],OFFSET(AN$4,0,-13)),
SUMIFS(tb_Cartao_Credito_Detalhado[[Mês 15]:[Mês 15]],tb_Cartao_Credito_Detalhado[Mês/Ano],OFFSET(AN$4,0,-14)),
SUMIFS(tb_Cartao_Credito_Detalhado[[Mês 16]:[Mês 16]],tb_Cartao_Credito_Detalhado[Mês/Ano],OFFSET(AN$4,0,-15)),
SUMIFS(tb_Cartao_Credito_Detalhado[[Mês 17]:[Mês 17]],tb_Cartao_Credito_Detalhado[Mês/Ano],OFFSET(AN$4,0,-16)),
SUMIFS(tb_Cartao_Credito_Detalhado[[Mês 18]:[Mês 18]],tb_Cartao_Credito_Detalhado[Mês/Ano],OFFSET(AN$4,0,-17)),
SUMIFS(tb_Cartao_Credito_Detalhado[[Mês 19]:[Mês 19]],tb_Cartao_Credito_Detalhado[Mês/Ano],OFFSET(AN$4,0,-18)),
SUMIFS(tb_Cartao_Credito_Detalhado[[Mês 20]:[Mês 20]],tb_Cartao_Credito_Detalhado[Mês/Ano],OFFSET(AN$4,0,-19)),
SUMIFS(tb_Cartao_Credito_Detalhado[[Mês 21]:[Mês 21]],tb_Cartao_Credito_Detalhado[Mês/Ano],OFFSET(AN$4,0,-20)),
SUMIFS(tb_Cartao_Credito_Detalhado[[Mês 22]:[Mês 22]],tb_Cartao_Credito_Detalhado[Mês/Ano],OFFSET(AN$4,0,-21)),
SUMIFS(tb_Cartao_Credito_Detalhado[[Mês 23]:[Mês 23]],tb_Cartao_Credito_Detalhado[Mês/Ano],OFFSET(AN$4,0,-22)),
SUMIFS(tb_Cartao_Credito_Detalhado[[Mês 24]:[Mês 24]],tb_Cartao_Credito_Detalhado[Mês/Ano],OFFSET(AN$4,0,-23)),
SUMIFS(tb_Cartao_Credito_Detalhado[[Mês 25]:[Mês 25]],tb_Cartao_Credito_Detalhado[Mês/Ano],OFFSET(AN$4,0,-24)),
SUMIFS(tb_Cartao_Credito_Detalhado[[Mês 26]:[Mês 26]],tb_Cartao_Credito_Detalhado[Mês/Ano],OFFSET(AN$4,0,-25)),
SUMIFS(tb_Cartao_Credito_Detalhado[[Mês 27]:[Mês 27]],tb_Cartao_Credito_Detalhado[Mês/Ano],OFFSET(AN$4,0,-26)),
SUMIFS(tb_Cartao_Credito_Detalhado[[Mês 28]:[Mês 28]],tb_Cartao_Credito_Detalhado[Mês/Ano],OFFSET(AN$4,0,-27)),
SUMIFS(tb_Cartao_Credito_Detalhado[[Mês 29]:[Mês 29]],tb_Cartao_Credito_Detalhado[Mês/Ano],OFFSET(AN$4,0,-28)),
SUMIFS(tb_Cartao_Credito_Detalhado[[Mês 30]:[Mês 30]],tb_Cartao_Credito_Detalhado[Mês/Ano],OFFSET(AN$4,0,-29)),
SUMIFS(tb_Cartao_Credito_Detalhado[[Mês 31]:[Mês 31]],tb_Cartao_Credito_Detalhado[Mês/Ano],OFFSET(AN$4,0,-30)),
SUMIFS(tb_Cartao_Credito_Detalhado[[Mês 32]:[Mês 32]],tb_Cartao_Credito_Detalhado[Mês/Ano],OFFSET(AN$4,0,-31)),
SUMIFS(tb_Cartao_Credito_Detalhado[[Mês 33]:[Mês 33]],tb_Cartao_Credito_Detalhado[Mês/Ano],OFFSET(AN$4,0,-32)),
SUMIFS(tb_Cartao_Credito_Detalhado[[Mês 34]:[Mês 34]],tb_Cartao_Credito_Detalhado[Mês/Ano],OFFSET(AN$4,0,-33)),
SUMIFS(tb_Cartao_Credito_Detalhado[[Mês 35]:[Mês 35]],tb_Cartao_Credito_Detalhado[Mês/Ano],OFFSET(AN$4,0,-34)),
SUMIFS(tb_Cartao_Credito_Detalhado[[Mês 36]:[Mês 36]],tb_Cartao_Credito_Detalhado[Mês/Ano],OFFSET(AN$4,0,-35)),
SUMIFS(tb_Cartao_Credito_Detalhado[[Mês 37]:[Mês 37]],tb_Cartao_Credito_Detalhado[Mês/Ano],OFFSET(AN$4,0,-36)),
SUMIFS(tb_Cartao_Credito_Detalhado[[Mês 38]:[Mês 38]],tb_Cartao_Credito_Detalhado[Mês/Ano],OFFSET(AN$4,0,-37)),
SUMIFS(tb_Cartao_Credito_Detalhado[[Mês 39]:[Mês 39]],tb_Cartao_Credito_Detalhado[Mês/Ano],OFFSET(AN$4,0,-38)),
SUMIFS(tb_Cartao_Credito_Detalhado[[Mês 40]:[Mês 40]],tb_Cartao_Credito_Detalhado[Mês/Ano],OFFSET(AN$4,0,-39)),
SUMIFS(tb_Cartao_Credito_Detalhado[[Mês 41]:[Mês 41]],tb_Cartao_Credito_Detalhado[Mês/Ano],OFFSET(AN$4,0,-40)),
SUMIFS(tb_Cartao_Credito_Detalhado[[Mês 42]:[Mês 42]],tb_Cartao_Credito_Detalhado[Mês/Ano],OFFSET(AN$4,0,-41)),
SUMIFS(tb_Cartao_Credito_Detalhado[[Mês 43]:[Mês 43]],tb_Cartao_Credito_Detalhado[Mês/Ano],OFFSET(AN$4,0,-42)),
SUMIFS(tb_Cartao_Credito_Detalhado[[Mês 44]:[Mês 44]],tb_Cartao_Credito_Detalhado[Mês/Ano],OFFSET(AN$4,0,-43)),
SUMIFS(tb_Cartao_Credito_Detalhado[[Mês 45]:[Mês 45]],tb_Cartao_Credito_Detalhado[Mês/Ano],OFFSET(AN$4,0,-44)),
)</f>
        <v>133.33333333333334</v>
      </c>
      <c r="AO5" s="28">
        <f ca="1">SUM(
SUMIFS(tb_Cartao_Credito_Detalhado[[Mês 1]:[Mês 1]],tb_Cartao_Credito_Detalhado[Mês/Ano],AO$4),
SUMIFS(tb_Cartao_Credito_Detalhado[[Mês 2]:[Mês 2]],tb_Cartao_Credito_Detalhado[Mês/Ano],OFFSET(AO$4,0,-1)),
SUMIFS(tb_Cartao_Credito_Detalhado[[Mês 3]:[Mês 3]],tb_Cartao_Credito_Detalhado[Mês/Ano],OFFSET(AO$4,0,-2)),
SUMIFS(tb_Cartao_Credito_Detalhado[[Mês 4]:[Mês 4]],tb_Cartao_Credito_Detalhado[Mês/Ano],OFFSET(AO$4,0,-3)),
SUMIFS(tb_Cartao_Credito_Detalhado[[Mês 5]:[Mês 5]],tb_Cartao_Credito_Detalhado[Mês/Ano],OFFSET(AO$4,0,-4)),
SUMIFS(tb_Cartao_Credito_Detalhado[[Mês 6]:[Mês 6]],tb_Cartao_Credito_Detalhado[Mês/Ano],OFFSET(AO$4,0,-5)),
SUMIFS(tb_Cartao_Credito_Detalhado[[Mês 7]:[Mês 7]],tb_Cartao_Credito_Detalhado[Mês/Ano],OFFSET(AO$4,0,-6)),
SUMIFS(tb_Cartao_Credito_Detalhado[[Mês 8]:[Mês 8]],tb_Cartao_Credito_Detalhado[Mês/Ano],OFFSET(AO$4,0,-7)),
SUMIFS(tb_Cartao_Credito_Detalhado[[Mês 9]:[Mês 9]],tb_Cartao_Credito_Detalhado[Mês/Ano],OFFSET(AO$4,0,-8)),
SUMIFS(tb_Cartao_Credito_Detalhado[[Mês 10]:[Mês 10]],tb_Cartao_Credito_Detalhado[Mês/Ano],OFFSET(AO$4,0,-9)),
SUMIFS(tb_Cartao_Credito_Detalhado[[Mês 11]:[Mês 11]],tb_Cartao_Credito_Detalhado[Mês/Ano],OFFSET(AO$4,0,-10)),
SUMIFS(tb_Cartao_Credito_Detalhado[[Mês 12]:[Mês 12]],tb_Cartao_Credito_Detalhado[Mês/Ano],OFFSET(AO$4,0,-11)),
SUMIFS(tb_Cartao_Credito_Detalhado[[Mês 13]:[Mês 13]],tb_Cartao_Credito_Detalhado[Mês/Ano],OFFSET(AO$4,0,-12)),
SUMIFS(tb_Cartao_Credito_Detalhado[[Mês 14]:[Mês 14]],tb_Cartao_Credito_Detalhado[Mês/Ano],OFFSET(AO$4,0,-13)),
SUMIFS(tb_Cartao_Credito_Detalhado[[Mês 15]:[Mês 15]],tb_Cartao_Credito_Detalhado[Mês/Ano],OFFSET(AO$4,0,-14)),
SUMIFS(tb_Cartao_Credito_Detalhado[[Mês 16]:[Mês 16]],tb_Cartao_Credito_Detalhado[Mês/Ano],OFFSET(AO$4,0,-15)),
SUMIFS(tb_Cartao_Credito_Detalhado[[Mês 17]:[Mês 17]],tb_Cartao_Credito_Detalhado[Mês/Ano],OFFSET(AO$4,0,-16)),
SUMIFS(tb_Cartao_Credito_Detalhado[[Mês 18]:[Mês 18]],tb_Cartao_Credito_Detalhado[Mês/Ano],OFFSET(AO$4,0,-17)),
SUMIFS(tb_Cartao_Credito_Detalhado[[Mês 19]:[Mês 19]],tb_Cartao_Credito_Detalhado[Mês/Ano],OFFSET(AO$4,0,-18)),
SUMIFS(tb_Cartao_Credito_Detalhado[[Mês 20]:[Mês 20]],tb_Cartao_Credito_Detalhado[Mês/Ano],OFFSET(AO$4,0,-19)),
SUMIFS(tb_Cartao_Credito_Detalhado[[Mês 21]:[Mês 21]],tb_Cartao_Credito_Detalhado[Mês/Ano],OFFSET(AO$4,0,-20)),
SUMIFS(tb_Cartao_Credito_Detalhado[[Mês 22]:[Mês 22]],tb_Cartao_Credito_Detalhado[Mês/Ano],OFFSET(AO$4,0,-21)),
SUMIFS(tb_Cartao_Credito_Detalhado[[Mês 23]:[Mês 23]],tb_Cartao_Credito_Detalhado[Mês/Ano],OFFSET(AO$4,0,-22)),
SUMIFS(tb_Cartao_Credito_Detalhado[[Mês 24]:[Mês 24]],tb_Cartao_Credito_Detalhado[Mês/Ano],OFFSET(AO$4,0,-23)),
SUMIFS(tb_Cartao_Credito_Detalhado[[Mês 25]:[Mês 25]],tb_Cartao_Credito_Detalhado[Mês/Ano],OFFSET(AO$4,0,-24)),
SUMIFS(tb_Cartao_Credito_Detalhado[[Mês 26]:[Mês 26]],tb_Cartao_Credito_Detalhado[Mês/Ano],OFFSET(AO$4,0,-25)),
SUMIFS(tb_Cartao_Credito_Detalhado[[Mês 27]:[Mês 27]],tb_Cartao_Credito_Detalhado[Mês/Ano],OFFSET(AO$4,0,-26)),
SUMIFS(tb_Cartao_Credito_Detalhado[[Mês 28]:[Mês 28]],tb_Cartao_Credito_Detalhado[Mês/Ano],OFFSET(AO$4,0,-27)),
SUMIFS(tb_Cartao_Credito_Detalhado[[Mês 29]:[Mês 29]],tb_Cartao_Credito_Detalhado[Mês/Ano],OFFSET(AO$4,0,-28)),
SUMIFS(tb_Cartao_Credito_Detalhado[[Mês 30]:[Mês 30]],tb_Cartao_Credito_Detalhado[Mês/Ano],OFFSET(AO$4,0,-29)),
SUMIFS(tb_Cartao_Credito_Detalhado[[Mês 31]:[Mês 31]],tb_Cartao_Credito_Detalhado[Mês/Ano],OFFSET(AO$4,0,-30)),
SUMIFS(tb_Cartao_Credito_Detalhado[[Mês 32]:[Mês 32]],tb_Cartao_Credito_Detalhado[Mês/Ano],OFFSET(AO$4,0,-31)),
SUMIFS(tb_Cartao_Credito_Detalhado[[Mês 33]:[Mês 33]],tb_Cartao_Credito_Detalhado[Mês/Ano],OFFSET(AO$4,0,-32)),
SUMIFS(tb_Cartao_Credito_Detalhado[[Mês 34]:[Mês 34]],tb_Cartao_Credito_Detalhado[Mês/Ano],OFFSET(AO$4,0,-33)),
SUMIFS(tb_Cartao_Credito_Detalhado[[Mês 35]:[Mês 35]],tb_Cartao_Credito_Detalhado[Mês/Ano],OFFSET(AO$4,0,-34)),
SUMIFS(tb_Cartao_Credito_Detalhado[[Mês 36]:[Mês 36]],tb_Cartao_Credito_Detalhado[Mês/Ano],OFFSET(AO$4,0,-35)),
SUMIFS(tb_Cartao_Credito_Detalhado[[Mês 37]:[Mês 37]],tb_Cartao_Credito_Detalhado[Mês/Ano],OFFSET(AO$4,0,-36)),
SUMIFS(tb_Cartao_Credito_Detalhado[[Mês 38]:[Mês 38]],tb_Cartao_Credito_Detalhado[Mês/Ano],OFFSET(AO$4,0,-37)),
SUMIFS(tb_Cartao_Credito_Detalhado[[Mês 39]:[Mês 39]],tb_Cartao_Credito_Detalhado[Mês/Ano],OFFSET(AO$4,0,-38)),
SUMIFS(tb_Cartao_Credito_Detalhado[[Mês 40]:[Mês 40]],tb_Cartao_Credito_Detalhado[Mês/Ano],OFFSET(AO$4,0,-39)),
SUMIFS(tb_Cartao_Credito_Detalhado[[Mês 41]:[Mês 41]],tb_Cartao_Credito_Detalhado[Mês/Ano],OFFSET(AO$4,0,-40)),
SUMIFS(tb_Cartao_Credito_Detalhado[[Mês 42]:[Mês 42]],tb_Cartao_Credito_Detalhado[Mês/Ano],OFFSET(AO$4,0,-41)),
SUMIFS(tb_Cartao_Credito_Detalhado[[Mês 43]:[Mês 43]],tb_Cartao_Credito_Detalhado[Mês/Ano],OFFSET(AO$4,0,-42)),
SUMIFS(tb_Cartao_Credito_Detalhado[[Mês 44]:[Mês 44]],tb_Cartao_Credito_Detalhado[Mês/Ano],OFFSET(AO$4,0,-43)),
SUMIFS(tb_Cartao_Credito_Detalhado[[Mês 45]:[Mês 45]],tb_Cartao_Credito_Detalhado[Mês/Ano],OFFSET(AO$4,0,-44)),
)</f>
        <v>133.33333333333334</v>
      </c>
      <c r="AP5" s="28">
        <f ca="1">SUM(
SUMIFS(tb_Cartao_Credito_Detalhado[[Mês 1]:[Mês 1]],tb_Cartao_Credito_Detalhado[Mês/Ano],AP$4),
SUMIFS(tb_Cartao_Credito_Detalhado[[Mês 2]:[Mês 2]],tb_Cartao_Credito_Detalhado[Mês/Ano],OFFSET(AP$4,0,-1)),
SUMIFS(tb_Cartao_Credito_Detalhado[[Mês 3]:[Mês 3]],tb_Cartao_Credito_Detalhado[Mês/Ano],OFFSET(AP$4,0,-2)),
SUMIFS(tb_Cartao_Credito_Detalhado[[Mês 4]:[Mês 4]],tb_Cartao_Credito_Detalhado[Mês/Ano],OFFSET(AP$4,0,-3)),
SUMIFS(tb_Cartao_Credito_Detalhado[[Mês 5]:[Mês 5]],tb_Cartao_Credito_Detalhado[Mês/Ano],OFFSET(AP$4,0,-4)),
SUMIFS(tb_Cartao_Credito_Detalhado[[Mês 6]:[Mês 6]],tb_Cartao_Credito_Detalhado[Mês/Ano],OFFSET(AP$4,0,-5)),
SUMIFS(tb_Cartao_Credito_Detalhado[[Mês 7]:[Mês 7]],tb_Cartao_Credito_Detalhado[Mês/Ano],OFFSET(AP$4,0,-6)),
SUMIFS(tb_Cartao_Credito_Detalhado[[Mês 8]:[Mês 8]],tb_Cartao_Credito_Detalhado[Mês/Ano],OFFSET(AP$4,0,-7)),
SUMIFS(tb_Cartao_Credito_Detalhado[[Mês 9]:[Mês 9]],tb_Cartao_Credito_Detalhado[Mês/Ano],OFFSET(AP$4,0,-8)),
SUMIFS(tb_Cartao_Credito_Detalhado[[Mês 10]:[Mês 10]],tb_Cartao_Credito_Detalhado[Mês/Ano],OFFSET(AP$4,0,-9)),
SUMIFS(tb_Cartao_Credito_Detalhado[[Mês 11]:[Mês 11]],tb_Cartao_Credito_Detalhado[Mês/Ano],OFFSET(AP$4,0,-10)),
SUMIFS(tb_Cartao_Credito_Detalhado[[Mês 12]:[Mês 12]],tb_Cartao_Credito_Detalhado[Mês/Ano],OFFSET(AP$4,0,-11)),
SUMIFS(tb_Cartao_Credito_Detalhado[[Mês 13]:[Mês 13]],tb_Cartao_Credito_Detalhado[Mês/Ano],OFFSET(AP$4,0,-12)),
SUMIFS(tb_Cartao_Credito_Detalhado[[Mês 14]:[Mês 14]],tb_Cartao_Credito_Detalhado[Mês/Ano],OFFSET(AP$4,0,-13)),
SUMIFS(tb_Cartao_Credito_Detalhado[[Mês 15]:[Mês 15]],tb_Cartao_Credito_Detalhado[Mês/Ano],OFFSET(AP$4,0,-14)),
SUMIFS(tb_Cartao_Credito_Detalhado[[Mês 16]:[Mês 16]],tb_Cartao_Credito_Detalhado[Mês/Ano],OFFSET(AP$4,0,-15)),
SUMIFS(tb_Cartao_Credito_Detalhado[[Mês 17]:[Mês 17]],tb_Cartao_Credito_Detalhado[Mês/Ano],OFFSET(AP$4,0,-16)),
SUMIFS(tb_Cartao_Credito_Detalhado[[Mês 18]:[Mês 18]],tb_Cartao_Credito_Detalhado[Mês/Ano],OFFSET(AP$4,0,-17)),
SUMIFS(tb_Cartao_Credito_Detalhado[[Mês 19]:[Mês 19]],tb_Cartao_Credito_Detalhado[Mês/Ano],OFFSET(AP$4,0,-18)),
SUMIFS(tb_Cartao_Credito_Detalhado[[Mês 20]:[Mês 20]],tb_Cartao_Credito_Detalhado[Mês/Ano],OFFSET(AP$4,0,-19)),
SUMIFS(tb_Cartao_Credito_Detalhado[[Mês 21]:[Mês 21]],tb_Cartao_Credito_Detalhado[Mês/Ano],OFFSET(AP$4,0,-20)),
SUMIFS(tb_Cartao_Credito_Detalhado[[Mês 22]:[Mês 22]],tb_Cartao_Credito_Detalhado[Mês/Ano],OFFSET(AP$4,0,-21)),
SUMIFS(tb_Cartao_Credito_Detalhado[[Mês 23]:[Mês 23]],tb_Cartao_Credito_Detalhado[Mês/Ano],OFFSET(AP$4,0,-22)),
SUMIFS(tb_Cartao_Credito_Detalhado[[Mês 24]:[Mês 24]],tb_Cartao_Credito_Detalhado[Mês/Ano],OFFSET(AP$4,0,-23)),
SUMIFS(tb_Cartao_Credito_Detalhado[[Mês 25]:[Mês 25]],tb_Cartao_Credito_Detalhado[Mês/Ano],OFFSET(AP$4,0,-24)),
SUMIFS(tb_Cartao_Credito_Detalhado[[Mês 26]:[Mês 26]],tb_Cartao_Credito_Detalhado[Mês/Ano],OFFSET(AP$4,0,-25)),
SUMIFS(tb_Cartao_Credito_Detalhado[[Mês 27]:[Mês 27]],tb_Cartao_Credito_Detalhado[Mês/Ano],OFFSET(AP$4,0,-26)),
SUMIFS(tb_Cartao_Credito_Detalhado[[Mês 28]:[Mês 28]],tb_Cartao_Credito_Detalhado[Mês/Ano],OFFSET(AP$4,0,-27)),
SUMIFS(tb_Cartao_Credito_Detalhado[[Mês 29]:[Mês 29]],tb_Cartao_Credito_Detalhado[Mês/Ano],OFFSET(AP$4,0,-28)),
SUMIFS(tb_Cartao_Credito_Detalhado[[Mês 30]:[Mês 30]],tb_Cartao_Credito_Detalhado[Mês/Ano],OFFSET(AP$4,0,-29)),
SUMIFS(tb_Cartao_Credito_Detalhado[[Mês 31]:[Mês 31]],tb_Cartao_Credito_Detalhado[Mês/Ano],OFFSET(AP$4,0,-30)),
SUMIFS(tb_Cartao_Credito_Detalhado[[Mês 32]:[Mês 32]],tb_Cartao_Credito_Detalhado[Mês/Ano],OFFSET(AP$4,0,-31)),
SUMIFS(tb_Cartao_Credito_Detalhado[[Mês 33]:[Mês 33]],tb_Cartao_Credito_Detalhado[Mês/Ano],OFFSET(AP$4,0,-32)),
SUMIFS(tb_Cartao_Credito_Detalhado[[Mês 34]:[Mês 34]],tb_Cartao_Credito_Detalhado[Mês/Ano],OFFSET(AP$4,0,-33)),
SUMIFS(tb_Cartao_Credito_Detalhado[[Mês 35]:[Mês 35]],tb_Cartao_Credito_Detalhado[Mês/Ano],OFFSET(AP$4,0,-34)),
SUMIFS(tb_Cartao_Credito_Detalhado[[Mês 36]:[Mês 36]],tb_Cartao_Credito_Detalhado[Mês/Ano],OFFSET(AP$4,0,-35)),
SUMIFS(tb_Cartao_Credito_Detalhado[[Mês 37]:[Mês 37]],tb_Cartao_Credito_Detalhado[Mês/Ano],OFFSET(AP$4,0,-36)),
SUMIFS(tb_Cartao_Credito_Detalhado[[Mês 38]:[Mês 38]],tb_Cartao_Credito_Detalhado[Mês/Ano],OFFSET(AP$4,0,-37)),
SUMIFS(tb_Cartao_Credito_Detalhado[[Mês 39]:[Mês 39]],tb_Cartao_Credito_Detalhado[Mês/Ano],OFFSET(AP$4,0,-38)),
SUMIFS(tb_Cartao_Credito_Detalhado[[Mês 40]:[Mês 40]],tb_Cartao_Credito_Detalhado[Mês/Ano],OFFSET(AP$4,0,-39)),
SUMIFS(tb_Cartao_Credito_Detalhado[[Mês 41]:[Mês 41]],tb_Cartao_Credito_Detalhado[Mês/Ano],OFFSET(AP$4,0,-40)),
SUMIFS(tb_Cartao_Credito_Detalhado[[Mês 42]:[Mês 42]],tb_Cartao_Credito_Detalhado[Mês/Ano],OFFSET(AP$4,0,-41)),
SUMIFS(tb_Cartao_Credito_Detalhado[[Mês 43]:[Mês 43]],tb_Cartao_Credito_Detalhado[Mês/Ano],OFFSET(AP$4,0,-42)),
SUMIFS(tb_Cartao_Credito_Detalhado[[Mês 44]:[Mês 44]],tb_Cartao_Credito_Detalhado[Mês/Ano],OFFSET(AP$4,0,-43)),
SUMIFS(tb_Cartao_Credito_Detalhado[[Mês 45]:[Mês 45]],tb_Cartao_Credito_Detalhado[Mês/Ano],OFFSET(AP$4,0,-44)),
)</f>
        <v>133.33333333333334</v>
      </c>
      <c r="AQ5" s="28">
        <f ca="1">SUM(
SUMIFS(tb_Cartao_Credito_Detalhado[[Mês 1]:[Mês 1]],tb_Cartao_Credito_Detalhado[Mês/Ano],AQ$4),
SUMIFS(tb_Cartao_Credito_Detalhado[[Mês 2]:[Mês 2]],tb_Cartao_Credito_Detalhado[Mês/Ano],OFFSET(AQ$4,0,-1)),
SUMIFS(tb_Cartao_Credito_Detalhado[[Mês 3]:[Mês 3]],tb_Cartao_Credito_Detalhado[Mês/Ano],OFFSET(AQ$4,0,-2)),
SUMIFS(tb_Cartao_Credito_Detalhado[[Mês 4]:[Mês 4]],tb_Cartao_Credito_Detalhado[Mês/Ano],OFFSET(AQ$4,0,-3)),
SUMIFS(tb_Cartao_Credito_Detalhado[[Mês 5]:[Mês 5]],tb_Cartao_Credito_Detalhado[Mês/Ano],OFFSET(AQ$4,0,-4)),
SUMIFS(tb_Cartao_Credito_Detalhado[[Mês 6]:[Mês 6]],tb_Cartao_Credito_Detalhado[Mês/Ano],OFFSET(AQ$4,0,-5)),
SUMIFS(tb_Cartao_Credito_Detalhado[[Mês 7]:[Mês 7]],tb_Cartao_Credito_Detalhado[Mês/Ano],OFFSET(AQ$4,0,-6)),
SUMIFS(tb_Cartao_Credito_Detalhado[[Mês 8]:[Mês 8]],tb_Cartao_Credito_Detalhado[Mês/Ano],OFFSET(AQ$4,0,-7)),
SUMIFS(tb_Cartao_Credito_Detalhado[[Mês 9]:[Mês 9]],tb_Cartao_Credito_Detalhado[Mês/Ano],OFFSET(AQ$4,0,-8)),
SUMIFS(tb_Cartao_Credito_Detalhado[[Mês 10]:[Mês 10]],tb_Cartao_Credito_Detalhado[Mês/Ano],OFFSET(AQ$4,0,-9)),
SUMIFS(tb_Cartao_Credito_Detalhado[[Mês 11]:[Mês 11]],tb_Cartao_Credito_Detalhado[Mês/Ano],OFFSET(AQ$4,0,-10)),
SUMIFS(tb_Cartao_Credito_Detalhado[[Mês 12]:[Mês 12]],tb_Cartao_Credito_Detalhado[Mês/Ano],OFFSET(AQ$4,0,-11)),
SUMIFS(tb_Cartao_Credito_Detalhado[[Mês 13]:[Mês 13]],tb_Cartao_Credito_Detalhado[Mês/Ano],OFFSET(AQ$4,0,-12)),
SUMIFS(tb_Cartao_Credito_Detalhado[[Mês 14]:[Mês 14]],tb_Cartao_Credito_Detalhado[Mês/Ano],OFFSET(AQ$4,0,-13)),
SUMIFS(tb_Cartao_Credito_Detalhado[[Mês 15]:[Mês 15]],tb_Cartao_Credito_Detalhado[Mês/Ano],OFFSET(AQ$4,0,-14)),
SUMIFS(tb_Cartao_Credito_Detalhado[[Mês 16]:[Mês 16]],tb_Cartao_Credito_Detalhado[Mês/Ano],OFFSET(AQ$4,0,-15)),
SUMIFS(tb_Cartao_Credito_Detalhado[[Mês 17]:[Mês 17]],tb_Cartao_Credito_Detalhado[Mês/Ano],OFFSET(AQ$4,0,-16)),
SUMIFS(tb_Cartao_Credito_Detalhado[[Mês 18]:[Mês 18]],tb_Cartao_Credito_Detalhado[Mês/Ano],OFFSET(AQ$4,0,-17)),
SUMIFS(tb_Cartao_Credito_Detalhado[[Mês 19]:[Mês 19]],tb_Cartao_Credito_Detalhado[Mês/Ano],OFFSET(AQ$4,0,-18)),
SUMIFS(tb_Cartao_Credito_Detalhado[[Mês 20]:[Mês 20]],tb_Cartao_Credito_Detalhado[Mês/Ano],OFFSET(AQ$4,0,-19)),
SUMIFS(tb_Cartao_Credito_Detalhado[[Mês 21]:[Mês 21]],tb_Cartao_Credito_Detalhado[Mês/Ano],OFFSET(AQ$4,0,-20)),
SUMIFS(tb_Cartao_Credito_Detalhado[[Mês 22]:[Mês 22]],tb_Cartao_Credito_Detalhado[Mês/Ano],OFFSET(AQ$4,0,-21)),
SUMIFS(tb_Cartao_Credito_Detalhado[[Mês 23]:[Mês 23]],tb_Cartao_Credito_Detalhado[Mês/Ano],OFFSET(AQ$4,0,-22)),
SUMIFS(tb_Cartao_Credito_Detalhado[[Mês 24]:[Mês 24]],tb_Cartao_Credito_Detalhado[Mês/Ano],OFFSET(AQ$4,0,-23)),
SUMIFS(tb_Cartao_Credito_Detalhado[[Mês 25]:[Mês 25]],tb_Cartao_Credito_Detalhado[Mês/Ano],OFFSET(AQ$4,0,-24)),
SUMIFS(tb_Cartao_Credito_Detalhado[[Mês 26]:[Mês 26]],tb_Cartao_Credito_Detalhado[Mês/Ano],OFFSET(AQ$4,0,-25)),
SUMIFS(tb_Cartao_Credito_Detalhado[[Mês 27]:[Mês 27]],tb_Cartao_Credito_Detalhado[Mês/Ano],OFFSET(AQ$4,0,-26)),
SUMIFS(tb_Cartao_Credito_Detalhado[[Mês 28]:[Mês 28]],tb_Cartao_Credito_Detalhado[Mês/Ano],OFFSET(AQ$4,0,-27)),
SUMIFS(tb_Cartao_Credito_Detalhado[[Mês 29]:[Mês 29]],tb_Cartao_Credito_Detalhado[Mês/Ano],OFFSET(AQ$4,0,-28)),
SUMIFS(tb_Cartao_Credito_Detalhado[[Mês 30]:[Mês 30]],tb_Cartao_Credito_Detalhado[Mês/Ano],OFFSET(AQ$4,0,-29)),
SUMIFS(tb_Cartao_Credito_Detalhado[[Mês 31]:[Mês 31]],tb_Cartao_Credito_Detalhado[Mês/Ano],OFFSET(AQ$4,0,-30)),
SUMIFS(tb_Cartao_Credito_Detalhado[[Mês 32]:[Mês 32]],tb_Cartao_Credito_Detalhado[Mês/Ano],OFFSET(AQ$4,0,-31)),
SUMIFS(tb_Cartao_Credito_Detalhado[[Mês 33]:[Mês 33]],tb_Cartao_Credito_Detalhado[Mês/Ano],OFFSET(AQ$4,0,-32)),
SUMIFS(tb_Cartao_Credito_Detalhado[[Mês 34]:[Mês 34]],tb_Cartao_Credito_Detalhado[Mês/Ano],OFFSET(AQ$4,0,-33)),
SUMIFS(tb_Cartao_Credito_Detalhado[[Mês 35]:[Mês 35]],tb_Cartao_Credito_Detalhado[Mês/Ano],OFFSET(AQ$4,0,-34)),
SUMIFS(tb_Cartao_Credito_Detalhado[[Mês 36]:[Mês 36]],tb_Cartao_Credito_Detalhado[Mês/Ano],OFFSET(AQ$4,0,-35)),
SUMIFS(tb_Cartao_Credito_Detalhado[[Mês 37]:[Mês 37]],tb_Cartao_Credito_Detalhado[Mês/Ano],OFFSET(AQ$4,0,-36)),
SUMIFS(tb_Cartao_Credito_Detalhado[[Mês 38]:[Mês 38]],tb_Cartao_Credito_Detalhado[Mês/Ano],OFFSET(AQ$4,0,-37)),
SUMIFS(tb_Cartao_Credito_Detalhado[[Mês 39]:[Mês 39]],tb_Cartao_Credito_Detalhado[Mês/Ano],OFFSET(AQ$4,0,-38)),
SUMIFS(tb_Cartao_Credito_Detalhado[[Mês 40]:[Mês 40]],tb_Cartao_Credito_Detalhado[Mês/Ano],OFFSET(AQ$4,0,-39)),
SUMIFS(tb_Cartao_Credito_Detalhado[[Mês 41]:[Mês 41]],tb_Cartao_Credito_Detalhado[Mês/Ano],OFFSET(AQ$4,0,-40)),
SUMIFS(tb_Cartao_Credito_Detalhado[[Mês 42]:[Mês 42]],tb_Cartao_Credito_Detalhado[Mês/Ano],OFFSET(AQ$4,0,-41)),
SUMIFS(tb_Cartao_Credito_Detalhado[[Mês 43]:[Mês 43]],tb_Cartao_Credito_Detalhado[Mês/Ano],OFFSET(AQ$4,0,-42)),
SUMIFS(tb_Cartao_Credito_Detalhado[[Mês 44]:[Mês 44]],tb_Cartao_Credito_Detalhado[Mês/Ano],OFFSET(AQ$4,0,-43)),
SUMIFS(tb_Cartao_Credito_Detalhado[[Mês 45]:[Mês 45]],tb_Cartao_Credito_Detalhado[Mês/Ano],OFFSET(AQ$4,0,-44)),
)</f>
        <v>133.33333333333334</v>
      </c>
      <c r="AR5" s="28">
        <f ca="1">SUM(
SUMIFS(tb_Cartao_Credito_Detalhado[[Mês 1]:[Mês 1]],tb_Cartao_Credito_Detalhado[Mês/Ano],AR$4),
SUMIFS(tb_Cartao_Credito_Detalhado[[Mês 2]:[Mês 2]],tb_Cartao_Credito_Detalhado[Mês/Ano],OFFSET(AR$4,0,-1)),
SUMIFS(tb_Cartao_Credito_Detalhado[[Mês 3]:[Mês 3]],tb_Cartao_Credito_Detalhado[Mês/Ano],OFFSET(AR$4,0,-2)),
SUMIFS(tb_Cartao_Credito_Detalhado[[Mês 4]:[Mês 4]],tb_Cartao_Credito_Detalhado[Mês/Ano],OFFSET(AR$4,0,-3)),
SUMIFS(tb_Cartao_Credito_Detalhado[[Mês 5]:[Mês 5]],tb_Cartao_Credito_Detalhado[Mês/Ano],OFFSET(AR$4,0,-4)),
SUMIFS(tb_Cartao_Credito_Detalhado[[Mês 6]:[Mês 6]],tb_Cartao_Credito_Detalhado[Mês/Ano],OFFSET(AR$4,0,-5)),
SUMIFS(tb_Cartao_Credito_Detalhado[[Mês 7]:[Mês 7]],tb_Cartao_Credito_Detalhado[Mês/Ano],OFFSET(AR$4,0,-6)),
SUMIFS(tb_Cartao_Credito_Detalhado[[Mês 8]:[Mês 8]],tb_Cartao_Credito_Detalhado[Mês/Ano],OFFSET(AR$4,0,-7)),
SUMIFS(tb_Cartao_Credito_Detalhado[[Mês 9]:[Mês 9]],tb_Cartao_Credito_Detalhado[Mês/Ano],OFFSET(AR$4,0,-8)),
SUMIFS(tb_Cartao_Credito_Detalhado[[Mês 10]:[Mês 10]],tb_Cartao_Credito_Detalhado[Mês/Ano],OFFSET(AR$4,0,-9)),
SUMIFS(tb_Cartao_Credito_Detalhado[[Mês 11]:[Mês 11]],tb_Cartao_Credito_Detalhado[Mês/Ano],OFFSET(AR$4,0,-10)),
SUMIFS(tb_Cartao_Credito_Detalhado[[Mês 12]:[Mês 12]],tb_Cartao_Credito_Detalhado[Mês/Ano],OFFSET(AR$4,0,-11)),
SUMIFS(tb_Cartao_Credito_Detalhado[[Mês 13]:[Mês 13]],tb_Cartao_Credito_Detalhado[Mês/Ano],OFFSET(AR$4,0,-12)),
SUMIFS(tb_Cartao_Credito_Detalhado[[Mês 14]:[Mês 14]],tb_Cartao_Credito_Detalhado[Mês/Ano],OFFSET(AR$4,0,-13)),
SUMIFS(tb_Cartao_Credito_Detalhado[[Mês 15]:[Mês 15]],tb_Cartao_Credito_Detalhado[Mês/Ano],OFFSET(AR$4,0,-14)),
SUMIFS(tb_Cartao_Credito_Detalhado[[Mês 16]:[Mês 16]],tb_Cartao_Credito_Detalhado[Mês/Ano],OFFSET(AR$4,0,-15)),
SUMIFS(tb_Cartao_Credito_Detalhado[[Mês 17]:[Mês 17]],tb_Cartao_Credito_Detalhado[Mês/Ano],OFFSET(AR$4,0,-16)),
SUMIFS(tb_Cartao_Credito_Detalhado[[Mês 18]:[Mês 18]],tb_Cartao_Credito_Detalhado[Mês/Ano],OFFSET(AR$4,0,-17)),
SUMIFS(tb_Cartao_Credito_Detalhado[[Mês 19]:[Mês 19]],tb_Cartao_Credito_Detalhado[Mês/Ano],OFFSET(AR$4,0,-18)),
SUMIFS(tb_Cartao_Credito_Detalhado[[Mês 20]:[Mês 20]],tb_Cartao_Credito_Detalhado[Mês/Ano],OFFSET(AR$4,0,-19)),
SUMIFS(tb_Cartao_Credito_Detalhado[[Mês 21]:[Mês 21]],tb_Cartao_Credito_Detalhado[Mês/Ano],OFFSET(AR$4,0,-20)),
SUMIFS(tb_Cartao_Credito_Detalhado[[Mês 22]:[Mês 22]],tb_Cartao_Credito_Detalhado[Mês/Ano],OFFSET(AR$4,0,-21)),
SUMIFS(tb_Cartao_Credito_Detalhado[[Mês 23]:[Mês 23]],tb_Cartao_Credito_Detalhado[Mês/Ano],OFFSET(AR$4,0,-22)),
SUMIFS(tb_Cartao_Credito_Detalhado[[Mês 24]:[Mês 24]],tb_Cartao_Credito_Detalhado[Mês/Ano],OFFSET(AR$4,0,-23)),
SUMIFS(tb_Cartao_Credito_Detalhado[[Mês 25]:[Mês 25]],tb_Cartao_Credito_Detalhado[Mês/Ano],OFFSET(AR$4,0,-24)),
SUMIFS(tb_Cartao_Credito_Detalhado[[Mês 26]:[Mês 26]],tb_Cartao_Credito_Detalhado[Mês/Ano],OFFSET(AR$4,0,-25)),
SUMIFS(tb_Cartao_Credito_Detalhado[[Mês 27]:[Mês 27]],tb_Cartao_Credito_Detalhado[Mês/Ano],OFFSET(AR$4,0,-26)),
SUMIFS(tb_Cartao_Credito_Detalhado[[Mês 28]:[Mês 28]],tb_Cartao_Credito_Detalhado[Mês/Ano],OFFSET(AR$4,0,-27)),
SUMIFS(tb_Cartao_Credito_Detalhado[[Mês 29]:[Mês 29]],tb_Cartao_Credito_Detalhado[Mês/Ano],OFFSET(AR$4,0,-28)),
SUMIFS(tb_Cartao_Credito_Detalhado[[Mês 30]:[Mês 30]],tb_Cartao_Credito_Detalhado[Mês/Ano],OFFSET(AR$4,0,-29)),
SUMIFS(tb_Cartao_Credito_Detalhado[[Mês 31]:[Mês 31]],tb_Cartao_Credito_Detalhado[Mês/Ano],OFFSET(AR$4,0,-30)),
SUMIFS(tb_Cartao_Credito_Detalhado[[Mês 32]:[Mês 32]],tb_Cartao_Credito_Detalhado[Mês/Ano],OFFSET(AR$4,0,-31)),
SUMIFS(tb_Cartao_Credito_Detalhado[[Mês 33]:[Mês 33]],tb_Cartao_Credito_Detalhado[Mês/Ano],OFFSET(AR$4,0,-32)),
SUMIFS(tb_Cartao_Credito_Detalhado[[Mês 34]:[Mês 34]],tb_Cartao_Credito_Detalhado[Mês/Ano],OFFSET(AR$4,0,-33)),
SUMIFS(tb_Cartao_Credito_Detalhado[[Mês 35]:[Mês 35]],tb_Cartao_Credito_Detalhado[Mês/Ano],OFFSET(AR$4,0,-34)),
SUMIFS(tb_Cartao_Credito_Detalhado[[Mês 36]:[Mês 36]],tb_Cartao_Credito_Detalhado[Mês/Ano],OFFSET(AR$4,0,-35)),
SUMIFS(tb_Cartao_Credito_Detalhado[[Mês 37]:[Mês 37]],tb_Cartao_Credito_Detalhado[Mês/Ano],OFFSET(AR$4,0,-36)),
SUMIFS(tb_Cartao_Credito_Detalhado[[Mês 38]:[Mês 38]],tb_Cartao_Credito_Detalhado[Mês/Ano],OFFSET(AR$4,0,-37)),
SUMIFS(tb_Cartao_Credito_Detalhado[[Mês 39]:[Mês 39]],tb_Cartao_Credito_Detalhado[Mês/Ano],OFFSET(AR$4,0,-38)),
SUMIFS(tb_Cartao_Credito_Detalhado[[Mês 40]:[Mês 40]],tb_Cartao_Credito_Detalhado[Mês/Ano],OFFSET(AR$4,0,-39)),
SUMIFS(tb_Cartao_Credito_Detalhado[[Mês 41]:[Mês 41]],tb_Cartao_Credito_Detalhado[Mês/Ano],OFFSET(AR$4,0,-40)),
SUMIFS(tb_Cartao_Credito_Detalhado[[Mês 42]:[Mês 42]],tb_Cartao_Credito_Detalhado[Mês/Ano],OFFSET(AR$4,0,-41)),
SUMIFS(tb_Cartao_Credito_Detalhado[[Mês 43]:[Mês 43]],tb_Cartao_Credito_Detalhado[Mês/Ano],OFFSET(AR$4,0,-42)),
SUMIFS(tb_Cartao_Credito_Detalhado[[Mês 44]:[Mês 44]],tb_Cartao_Credito_Detalhado[Mês/Ano],OFFSET(AR$4,0,-43)),
SUMIFS(tb_Cartao_Credito_Detalhado[[Mês 45]:[Mês 45]],tb_Cartao_Credito_Detalhado[Mês/Ano],OFFSET(AR$4,0,-44)),
)</f>
        <v>133.33333333333334</v>
      </c>
      <c r="AS5" s="28">
        <f ca="1">SUM(
SUMIFS(tb_Cartao_Credito_Detalhado[[Mês 1]:[Mês 1]],tb_Cartao_Credito_Detalhado[Mês/Ano],AS$4),
SUMIFS(tb_Cartao_Credito_Detalhado[[Mês 2]:[Mês 2]],tb_Cartao_Credito_Detalhado[Mês/Ano],OFFSET(AS$4,0,-1)),
SUMIFS(tb_Cartao_Credito_Detalhado[[Mês 3]:[Mês 3]],tb_Cartao_Credito_Detalhado[Mês/Ano],OFFSET(AS$4,0,-2)),
SUMIFS(tb_Cartao_Credito_Detalhado[[Mês 4]:[Mês 4]],tb_Cartao_Credito_Detalhado[Mês/Ano],OFFSET(AS$4,0,-3)),
SUMIFS(tb_Cartao_Credito_Detalhado[[Mês 5]:[Mês 5]],tb_Cartao_Credito_Detalhado[Mês/Ano],OFFSET(AS$4,0,-4)),
SUMIFS(tb_Cartao_Credito_Detalhado[[Mês 6]:[Mês 6]],tb_Cartao_Credito_Detalhado[Mês/Ano],OFFSET(AS$4,0,-5)),
SUMIFS(tb_Cartao_Credito_Detalhado[[Mês 7]:[Mês 7]],tb_Cartao_Credito_Detalhado[Mês/Ano],OFFSET(AS$4,0,-6)),
SUMIFS(tb_Cartao_Credito_Detalhado[[Mês 8]:[Mês 8]],tb_Cartao_Credito_Detalhado[Mês/Ano],OFFSET(AS$4,0,-7)),
SUMIFS(tb_Cartao_Credito_Detalhado[[Mês 9]:[Mês 9]],tb_Cartao_Credito_Detalhado[Mês/Ano],OFFSET(AS$4,0,-8)),
SUMIFS(tb_Cartao_Credito_Detalhado[[Mês 10]:[Mês 10]],tb_Cartao_Credito_Detalhado[Mês/Ano],OFFSET(AS$4,0,-9)),
SUMIFS(tb_Cartao_Credito_Detalhado[[Mês 11]:[Mês 11]],tb_Cartao_Credito_Detalhado[Mês/Ano],OFFSET(AS$4,0,-10)),
SUMIFS(tb_Cartao_Credito_Detalhado[[Mês 12]:[Mês 12]],tb_Cartao_Credito_Detalhado[Mês/Ano],OFFSET(AS$4,0,-11)),
SUMIFS(tb_Cartao_Credito_Detalhado[[Mês 13]:[Mês 13]],tb_Cartao_Credito_Detalhado[Mês/Ano],OFFSET(AS$4,0,-12)),
SUMIFS(tb_Cartao_Credito_Detalhado[[Mês 14]:[Mês 14]],tb_Cartao_Credito_Detalhado[Mês/Ano],OFFSET(AS$4,0,-13)),
SUMIFS(tb_Cartao_Credito_Detalhado[[Mês 15]:[Mês 15]],tb_Cartao_Credito_Detalhado[Mês/Ano],OFFSET(AS$4,0,-14)),
SUMIFS(tb_Cartao_Credito_Detalhado[[Mês 16]:[Mês 16]],tb_Cartao_Credito_Detalhado[Mês/Ano],OFFSET(AS$4,0,-15)),
SUMIFS(tb_Cartao_Credito_Detalhado[[Mês 17]:[Mês 17]],tb_Cartao_Credito_Detalhado[Mês/Ano],OFFSET(AS$4,0,-16)),
SUMIFS(tb_Cartao_Credito_Detalhado[[Mês 18]:[Mês 18]],tb_Cartao_Credito_Detalhado[Mês/Ano],OFFSET(AS$4,0,-17)),
SUMIFS(tb_Cartao_Credito_Detalhado[[Mês 19]:[Mês 19]],tb_Cartao_Credito_Detalhado[Mês/Ano],OFFSET(AS$4,0,-18)),
SUMIFS(tb_Cartao_Credito_Detalhado[[Mês 20]:[Mês 20]],tb_Cartao_Credito_Detalhado[Mês/Ano],OFFSET(AS$4,0,-19)),
SUMIFS(tb_Cartao_Credito_Detalhado[[Mês 21]:[Mês 21]],tb_Cartao_Credito_Detalhado[Mês/Ano],OFFSET(AS$4,0,-20)),
SUMIFS(tb_Cartao_Credito_Detalhado[[Mês 22]:[Mês 22]],tb_Cartao_Credito_Detalhado[Mês/Ano],OFFSET(AS$4,0,-21)),
SUMIFS(tb_Cartao_Credito_Detalhado[[Mês 23]:[Mês 23]],tb_Cartao_Credito_Detalhado[Mês/Ano],OFFSET(AS$4,0,-22)),
SUMIFS(tb_Cartao_Credito_Detalhado[[Mês 24]:[Mês 24]],tb_Cartao_Credito_Detalhado[Mês/Ano],OFFSET(AS$4,0,-23)),
SUMIFS(tb_Cartao_Credito_Detalhado[[Mês 25]:[Mês 25]],tb_Cartao_Credito_Detalhado[Mês/Ano],OFFSET(AS$4,0,-24)),
SUMIFS(tb_Cartao_Credito_Detalhado[[Mês 26]:[Mês 26]],tb_Cartao_Credito_Detalhado[Mês/Ano],OFFSET(AS$4,0,-25)),
SUMIFS(tb_Cartao_Credito_Detalhado[[Mês 27]:[Mês 27]],tb_Cartao_Credito_Detalhado[Mês/Ano],OFFSET(AS$4,0,-26)),
SUMIFS(tb_Cartao_Credito_Detalhado[[Mês 28]:[Mês 28]],tb_Cartao_Credito_Detalhado[Mês/Ano],OFFSET(AS$4,0,-27)),
SUMIFS(tb_Cartao_Credito_Detalhado[[Mês 29]:[Mês 29]],tb_Cartao_Credito_Detalhado[Mês/Ano],OFFSET(AS$4,0,-28)),
SUMIFS(tb_Cartao_Credito_Detalhado[[Mês 30]:[Mês 30]],tb_Cartao_Credito_Detalhado[Mês/Ano],OFFSET(AS$4,0,-29)),
SUMIFS(tb_Cartao_Credito_Detalhado[[Mês 31]:[Mês 31]],tb_Cartao_Credito_Detalhado[Mês/Ano],OFFSET(AS$4,0,-30)),
SUMIFS(tb_Cartao_Credito_Detalhado[[Mês 32]:[Mês 32]],tb_Cartao_Credito_Detalhado[Mês/Ano],OFFSET(AS$4,0,-31)),
SUMIFS(tb_Cartao_Credito_Detalhado[[Mês 33]:[Mês 33]],tb_Cartao_Credito_Detalhado[Mês/Ano],OFFSET(AS$4,0,-32)),
SUMIFS(tb_Cartao_Credito_Detalhado[[Mês 34]:[Mês 34]],tb_Cartao_Credito_Detalhado[Mês/Ano],OFFSET(AS$4,0,-33)),
SUMIFS(tb_Cartao_Credito_Detalhado[[Mês 35]:[Mês 35]],tb_Cartao_Credito_Detalhado[Mês/Ano],OFFSET(AS$4,0,-34)),
SUMIFS(tb_Cartao_Credito_Detalhado[[Mês 36]:[Mês 36]],tb_Cartao_Credito_Detalhado[Mês/Ano],OFFSET(AS$4,0,-35)),
SUMIFS(tb_Cartao_Credito_Detalhado[[Mês 37]:[Mês 37]],tb_Cartao_Credito_Detalhado[Mês/Ano],OFFSET(AS$4,0,-36)),
SUMIFS(tb_Cartao_Credito_Detalhado[[Mês 38]:[Mês 38]],tb_Cartao_Credito_Detalhado[Mês/Ano],OFFSET(AS$4,0,-37)),
SUMIFS(tb_Cartao_Credito_Detalhado[[Mês 39]:[Mês 39]],tb_Cartao_Credito_Detalhado[Mês/Ano],OFFSET(AS$4,0,-38)),
SUMIFS(tb_Cartao_Credito_Detalhado[[Mês 40]:[Mês 40]],tb_Cartao_Credito_Detalhado[Mês/Ano],OFFSET(AS$4,0,-39)),
SUMIFS(tb_Cartao_Credito_Detalhado[[Mês 41]:[Mês 41]],tb_Cartao_Credito_Detalhado[Mês/Ano],OFFSET(AS$4,0,-40)),
SUMIFS(tb_Cartao_Credito_Detalhado[[Mês 42]:[Mês 42]],tb_Cartao_Credito_Detalhado[Mês/Ano],OFFSET(AS$4,0,-41)),
SUMIFS(tb_Cartao_Credito_Detalhado[[Mês 43]:[Mês 43]],tb_Cartao_Credito_Detalhado[Mês/Ano],OFFSET(AS$4,0,-42)),
SUMIFS(tb_Cartao_Credito_Detalhado[[Mês 44]:[Mês 44]],tb_Cartao_Credito_Detalhado[Mês/Ano],OFFSET(AS$4,0,-43)),
SUMIFS(tb_Cartao_Credito_Detalhado[[Mês 45]:[Mês 45]],tb_Cartao_Credito_Detalhado[Mês/Ano],OFFSET(AS$4,0,-44)),
)</f>
        <v>133.33333333333334</v>
      </c>
      <c r="AT5" s="28">
        <f ca="1">SUM(
SUMIFS(tb_Cartao_Credito_Detalhado[[Mês 1]:[Mês 1]],tb_Cartao_Credito_Detalhado[Mês/Ano],AT$4),
SUMIFS(tb_Cartao_Credito_Detalhado[[Mês 2]:[Mês 2]],tb_Cartao_Credito_Detalhado[Mês/Ano],OFFSET(AT$4,0,-1)),
SUMIFS(tb_Cartao_Credito_Detalhado[[Mês 3]:[Mês 3]],tb_Cartao_Credito_Detalhado[Mês/Ano],OFFSET(AT$4,0,-2)),
SUMIFS(tb_Cartao_Credito_Detalhado[[Mês 4]:[Mês 4]],tb_Cartao_Credito_Detalhado[Mês/Ano],OFFSET(AT$4,0,-3)),
SUMIFS(tb_Cartao_Credito_Detalhado[[Mês 5]:[Mês 5]],tb_Cartao_Credito_Detalhado[Mês/Ano],OFFSET(AT$4,0,-4)),
SUMIFS(tb_Cartao_Credito_Detalhado[[Mês 6]:[Mês 6]],tb_Cartao_Credito_Detalhado[Mês/Ano],OFFSET(AT$4,0,-5)),
SUMIFS(tb_Cartao_Credito_Detalhado[[Mês 7]:[Mês 7]],tb_Cartao_Credito_Detalhado[Mês/Ano],OFFSET(AT$4,0,-6)),
SUMIFS(tb_Cartao_Credito_Detalhado[[Mês 8]:[Mês 8]],tb_Cartao_Credito_Detalhado[Mês/Ano],OFFSET(AT$4,0,-7)),
SUMIFS(tb_Cartao_Credito_Detalhado[[Mês 9]:[Mês 9]],tb_Cartao_Credito_Detalhado[Mês/Ano],OFFSET(AT$4,0,-8)),
SUMIFS(tb_Cartao_Credito_Detalhado[[Mês 10]:[Mês 10]],tb_Cartao_Credito_Detalhado[Mês/Ano],OFFSET(AT$4,0,-9)),
SUMIFS(tb_Cartao_Credito_Detalhado[[Mês 11]:[Mês 11]],tb_Cartao_Credito_Detalhado[Mês/Ano],OFFSET(AT$4,0,-10)),
SUMIFS(tb_Cartao_Credito_Detalhado[[Mês 12]:[Mês 12]],tb_Cartao_Credito_Detalhado[Mês/Ano],OFFSET(AT$4,0,-11)),
SUMIFS(tb_Cartao_Credito_Detalhado[[Mês 13]:[Mês 13]],tb_Cartao_Credito_Detalhado[Mês/Ano],OFFSET(AT$4,0,-12)),
SUMIFS(tb_Cartao_Credito_Detalhado[[Mês 14]:[Mês 14]],tb_Cartao_Credito_Detalhado[Mês/Ano],OFFSET(AT$4,0,-13)),
SUMIFS(tb_Cartao_Credito_Detalhado[[Mês 15]:[Mês 15]],tb_Cartao_Credito_Detalhado[Mês/Ano],OFFSET(AT$4,0,-14)),
SUMIFS(tb_Cartao_Credito_Detalhado[[Mês 16]:[Mês 16]],tb_Cartao_Credito_Detalhado[Mês/Ano],OFFSET(AT$4,0,-15)),
SUMIFS(tb_Cartao_Credito_Detalhado[[Mês 17]:[Mês 17]],tb_Cartao_Credito_Detalhado[Mês/Ano],OFFSET(AT$4,0,-16)),
SUMIFS(tb_Cartao_Credito_Detalhado[[Mês 18]:[Mês 18]],tb_Cartao_Credito_Detalhado[Mês/Ano],OFFSET(AT$4,0,-17)),
SUMIFS(tb_Cartao_Credito_Detalhado[[Mês 19]:[Mês 19]],tb_Cartao_Credito_Detalhado[Mês/Ano],OFFSET(AT$4,0,-18)),
SUMIFS(tb_Cartao_Credito_Detalhado[[Mês 20]:[Mês 20]],tb_Cartao_Credito_Detalhado[Mês/Ano],OFFSET(AT$4,0,-19)),
SUMIFS(tb_Cartao_Credito_Detalhado[[Mês 21]:[Mês 21]],tb_Cartao_Credito_Detalhado[Mês/Ano],OFFSET(AT$4,0,-20)),
SUMIFS(tb_Cartao_Credito_Detalhado[[Mês 22]:[Mês 22]],tb_Cartao_Credito_Detalhado[Mês/Ano],OFFSET(AT$4,0,-21)),
SUMIFS(tb_Cartao_Credito_Detalhado[[Mês 23]:[Mês 23]],tb_Cartao_Credito_Detalhado[Mês/Ano],OFFSET(AT$4,0,-22)),
SUMIFS(tb_Cartao_Credito_Detalhado[[Mês 24]:[Mês 24]],tb_Cartao_Credito_Detalhado[Mês/Ano],OFFSET(AT$4,0,-23)),
SUMIFS(tb_Cartao_Credito_Detalhado[[Mês 25]:[Mês 25]],tb_Cartao_Credito_Detalhado[Mês/Ano],OFFSET(AT$4,0,-24)),
SUMIFS(tb_Cartao_Credito_Detalhado[[Mês 26]:[Mês 26]],tb_Cartao_Credito_Detalhado[Mês/Ano],OFFSET(AT$4,0,-25)),
SUMIFS(tb_Cartao_Credito_Detalhado[[Mês 27]:[Mês 27]],tb_Cartao_Credito_Detalhado[Mês/Ano],OFFSET(AT$4,0,-26)),
SUMIFS(tb_Cartao_Credito_Detalhado[[Mês 28]:[Mês 28]],tb_Cartao_Credito_Detalhado[Mês/Ano],OFFSET(AT$4,0,-27)),
SUMIFS(tb_Cartao_Credito_Detalhado[[Mês 29]:[Mês 29]],tb_Cartao_Credito_Detalhado[Mês/Ano],OFFSET(AT$4,0,-28)),
SUMIFS(tb_Cartao_Credito_Detalhado[[Mês 30]:[Mês 30]],tb_Cartao_Credito_Detalhado[Mês/Ano],OFFSET(AT$4,0,-29)),
SUMIFS(tb_Cartao_Credito_Detalhado[[Mês 31]:[Mês 31]],tb_Cartao_Credito_Detalhado[Mês/Ano],OFFSET(AT$4,0,-30)),
SUMIFS(tb_Cartao_Credito_Detalhado[[Mês 32]:[Mês 32]],tb_Cartao_Credito_Detalhado[Mês/Ano],OFFSET(AT$4,0,-31)),
SUMIFS(tb_Cartao_Credito_Detalhado[[Mês 33]:[Mês 33]],tb_Cartao_Credito_Detalhado[Mês/Ano],OFFSET(AT$4,0,-32)),
SUMIFS(tb_Cartao_Credito_Detalhado[[Mês 34]:[Mês 34]],tb_Cartao_Credito_Detalhado[Mês/Ano],OFFSET(AT$4,0,-33)),
SUMIFS(tb_Cartao_Credito_Detalhado[[Mês 35]:[Mês 35]],tb_Cartao_Credito_Detalhado[Mês/Ano],OFFSET(AT$4,0,-34)),
SUMIFS(tb_Cartao_Credito_Detalhado[[Mês 36]:[Mês 36]],tb_Cartao_Credito_Detalhado[Mês/Ano],OFFSET(AT$4,0,-35)),
SUMIFS(tb_Cartao_Credito_Detalhado[[Mês 37]:[Mês 37]],tb_Cartao_Credito_Detalhado[Mês/Ano],OFFSET(AT$4,0,-36)),
SUMIFS(tb_Cartao_Credito_Detalhado[[Mês 38]:[Mês 38]],tb_Cartao_Credito_Detalhado[Mês/Ano],OFFSET(AT$4,0,-37)),
SUMIFS(tb_Cartao_Credito_Detalhado[[Mês 39]:[Mês 39]],tb_Cartao_Credito_Detalhado[Mês/Ano],OFFSET(AT$4,0,-38)),
SUMIFS(tb_Cartao_Credito_Detalhado[[Mês 40]:[Mês 40]],tb_Cartao_Credito_Detalhado[Mês/Ano],OFFSET(AT$4,0,-39)),
SUMIFS(tb_Cartao_Credito_Detalhado[[Mês 41]:[Mês 41]],tb_Cartao_Credito_Detalhado[Mês/Ano],OFFSET(AT$4,0,-40)),
SUMIFS(tb_Cartao_Credito_Detalhado[[Mês 42]:[Mês 42]],tb_Cartao_Credito_Detalhado[Mês/Ano],OFFSET(AT$4,0,-41)),
SUMIFS(tb_Cartao_Credito_Detalhado[[Mês 43]:[Mês 43]],tb_Cartao_Credito_Detalhado[Mês/Ano],OFFSET(AT$4,0,-42)),
SUMIFS(tb_Cartao_Credito_Detalhado[[Mês 44]:[Mês 44]],tb_Cartao_Credito_Detalhado[Mês/Ano],OFFSET(AT$4,0,-43)),
SUMIFS(tb_Cartao_Credito_Detalhado[[Mês 45]:[Mês 45]],tb_Cartao_Credito_Detalhado[Mês/Ano],OFFSET(AT$4,0,-44)),
)</f>
        <v>133.33333333333334</v>
      </c>
      <c r="AU5" s="28">
        <f ca="1">SUM(
SUMIFS(tb_Cartao_Credito_Detalhado[[Mês 1]:[Mês 1]],tb_Cartao_Credito_Detalhado[Mês/Ano],AU$4),
SUMIFS(tb_Cartao_Credito_Detalhado[[Mês 2]:[Mês 2]],tb_Cartao_Credito_Detalhado[Mês/Ano],OFFSET(AU$4,0,-1)),
SUMIFS(tb_Cartao_Credito_Detalhado[[Mês 3]:[Mês 3]],tb_Cartao_Credito_Detalhado[Mês/Ano],OFFSET(AU$4,0,-2)),
SUMIFS(tb_Cartao_Credito_Detalhado[[Mês 4]:[Mês 4]],tb_Cartao_Credito_Detalhado[Mês/Ano],OFFSET(AU$4,0,-3)),
SUMIFS(tb_Cartao_Credito_Detalhado[[Mês 5]:[Mês 5]],tb_Cartao_Credito_Detalhado[Mês/Ano],OFFSET(AU$4,0,-4)),
SUMIFS(tb_Cartao_Credito_Detalhado[[Mês 6]:[Mês 6]],tb_Cartao_Credito_Detalhado[Mês/Ano],OFFSET(AU$4,0,-5)),
SUMIFS(tb_Cartao_Credito_Detalhado[[Mês 7]:[Mês 7]],tb_Cartao_Credito_Detalhado[Mês/Ano],OFFSET(AU$4,0,-6)),
SUMIFS(tb_Cartao_Credito_Detalhado[[Mês 8]:[Mês 8]],tb_Cartao_Credito_Detalhado[Mês/Ano],OFFSET(AU$4,0,-7)),
SUMIFS(tb_Cartao_Credito_Detalhado[[Mês 9]:[Mês 9]],tb_Cartao_Credito_Detalhado[Mês/Ano],OFFSET(AU$4,0,-8)),
SUMIFS(tb_Cartao_Credito_Detalhado[[Mês 10]:[Mês 10]],tb_Cartao_Credito_Detalhado[Mês/Ano],OFFSET(AU$4,0,-9)),
SUMIFS(tb_Cartao_Credito_Detalhado[[Mês 11]:[Mês 11]],tb_Cartao_Credito_Detalhado[Mês/Ano],OFFSET(AU$4,0,-10)),
SUMIFS(tb_Cartao_Credito_Detalhado[[Mês 12]:[Mês 12]],tb_Cartao_Credito_Detalhado[Mês/Ano],OFFSET(AU$4,0,-11)),
SUMIFS(tb_Cartao_Credito_Detalhado[[Mês 13]:[Mês 13]],tb_Cartao_Credito_Detalhado[Mês/Ano],OFFSET(AU$4,0,-12)),
SUMIFS(tb_Cartao_Credito_Detalhado[[Mês 14]:[Mês 14]],tb_Cartao_Credito_Detalhado[Mês/Ano],OFFSET(AU$4,0,-13)),
SUMIFS(tb_Cartao_Credito_Detalhado[[Mês 15]:[Mês 15]],tb_Cartao_Credito_Detalhado[Mês/Ano],OFFSET(AU$4,0,-14)),
SUMIFS(tb_Cartao_Credito_Detalhado[[Mês 16]:[Mês 16]],tb_Cartao_Credito_Detalhado[Mês/Ano],OFFSET(AU$4,0,-15)),
SUMIFS(tb_Cartao_Credito_Detalhado[[Mês 17]:[Mês 17]],tb_Cartao_Credito_Detalhado[Mês/Ano],OFFSET(AU$4,0,-16)),
SUMIFS(tb_Cartao_Credito_Detalhado[[Mês 18]:[Mês 18]],tb_Cartao_Credito_Detalhado[Mês/Ano],OFFSET(AU$4,0,-17)),
SUMIFS(tb_Cartao_Credito_Detalhado[[Mês 19]:[Mês 19]],tb_Cartao_Credito_Detalhado[Mês/Ano],OFFSET(AU$4,0,-18)),
SUMIFS(tb_Cartao_Credito_Detalhado[[Mês 20]:[Mês 20]],tb_Cartao_Credito_Detalhado[Mês/Ano],OFFSET(AU$4,0,-19)),
SUMIFS(tb_Cartao_Credito_Detalhado[[Mês 21]:[Mês 21]],tb_Cartao_Credito_Detalhado[Mês/Ano],OFFSET(AU$4,0,-20)),
SUMIFS(tb_Cartao_Credito_Detalhado[[Mês 22]:[Mês 22]],tb_Cartao_Credito_Detalhado[Mês/Ano],OFFSET(AU$4,0,-21)),
SUMIFS(tb_Cartao_Credito_Detalhado[[Mês 23]:[Mês 23]],tb_Cartao_Credito_Detalhado[Mês/Ano],OFFSET(AU$4,0,-22)),
SUMIFS(tb_Cartao_Credito_Detalhado[[Mês 24]:[Mês 24]],tb_Cartao_Credito_Detalhado[Mês/Ano],OFFSET(AU$4,0,-23)),
SUMIFS(tb_Cartao_Credito_Detalhado[[Mês 25]:[Mês 25]],tb_Cartao_Credito_Detalhado[Mês/Ano],OFFSET(AU$4,0,-24)),
SUMIFS(tb_Cartao_Credito_Detalhado[[Mês 26]:[Mês 26]],tb_Cartao_Credito_Detalhado[Mês/Ano],OFFSET(AU$4,0,-25)),
SUMIFS(tb_Cartao_Credito_Detalhado[[Mês 27]:[Mês 27]],tb_Cartao_Credito_Detalhado[Mês/Ano],OFFSET(AU$4,0,-26)),
SUMIFS(tb_Cartao_Credito_Detalhado[[Mês 28]:[Mês 28]],tb_Cartao_Credito_Detalhado[Mês/Ano],OFFSET(AU$4,0,-27)),
SUMIFS(tb_Cartao_Credito_Detalhado[[Mês 29]:[Mês 29]],tb_Cartao_Credito_Detalhado[Mês/Ano],OFFSET(AU$4,0,-28)),
SUMIFS(tb_Cartao_Credito_Detalhado[[Mês 30]:[Mês 30]],tb_Cartao_Credito_Detalhado[Mês/Ano],OFFSET(AU$4,0,-29)),
SUMIFS(tb_Cartao_Credito_Detalhado[[Mês 31]:[Mês 31]],tb_Cartao_Credito_Detalhado[Mês/Ano],OFFSET(AU$4,0,-30)),
SUMIFS(tb_Cartao_Credito_Detalhado[[Mês 32]:[Mês 32]],tb_Cartao_Credito_Detalhado[Mês/Ano],OFFSET(AU$4,0,-31)),
SUMIFS(tb_Cartao_Credito_Detalhado[[Mês 33]:[Mês 33]],tb_Cartao_Credito_Detalhado[Mês/Ano],OFFSET(AU$4,0,-32)),
SUMIFS(tb_Cartao_Credito_Detalhado[[Mês 34]:[Mês 34]],tb_Cartao_Credito_Detalhado[Mês/Ano],OFFSET(AU$4,0,-33)),
SUMIFS(tb_Cartao_Credito_Detalhado[[Mês 35]:[Mês 35]],tb_Cartao_Credito_Detalhado[Mês/Ano],OFFSET(AU$4,0,-34)),
SUMIFS(tb_Cartao_Credito_Detalhado[[Mês 36]:[Mês 36]],tb_Cartao_Credito_Detalhado[Mês/Ano],OFFSET(AU$4,0,-35)),
SUMIFS(tb_Cartao_Credito_Detalhado[[Mês 37]:[Mês 37]],tb_Cartao_Credito_Detalhado[Mês/Ano],OFFSET(AU$4,0,-36)),
SUMIFS(tb_Cartao_Credito_Detalhado[[Mês 38]:[Mês 38]],tb_Cartao_Credito_Detalhado[Mês/Ano],OFFSET(AU$4,0,-37)),
SUMIFS(tb_Cartao_Credito_Detalhado[[Mês 39]:[Mês 39]],tb_Cartao_Credito_Detalhado[Mês/Ano],OFFSET(AU$4,0,-38)),
SUMIFS(tb_Cartao_Credito_Detalhado[[Mês 40]:[Mês 40]],tb_Cartao_Credito_Detalhado[Mês/Ano],OFFSET(AU$4,0,-39)),
SUMIFS(tb_Cartao_Credito_Detalhado[[Mês 41]:[Mês 41]],tb_Cartao_Credito_Detalhado[Mês/Ano],OFFSET(AU$4,0,-40)),
SUMIFS(tb_Cartao_Credito_Detalhado[[Mês 42]:[Mês 42]],tb_Cartao_Credito_Detalhado[Mês/Ano],OFFSET(AU$4,0,-41)),
SUMIFS(tb_Cartao_Credito_Detalhado[[Mês 43]:[Mês 43]],tb_Cartao_Credito_Detalhado[Mês/Ano],OFFSET(AU$4,0,-42)),
SUMIFS(tb_Cartao_Credito_Detalhado[[Mês 44]:[Mês 44]],tb_Cartao_Credito_Detalhado[Mês/Ano],OFFSET(AU$4,0,-43)),
SUMIFS(tb_Cartao_Credito_Detalhado[[Mês 45]:[Mês 45]],tb_Cartao_Credito_Detalhado[Mês/Ano],OFFSET(AU$4,0,-44)),
)</f>
        <v>133.33333333333334</v>
      </c>
      <c r="AV5" s="28">
        <f ca="1">SUM(
SUMIFS(tb_Cartao_Credito_Detalhado[[Mês 1]:[Mês 1]],tb_Cartao_Credito_Detalhado[Mês/Ano],AV$4),
SUMIFS(tb_Cartao_Credito_Detalhado[[Mês 2]:[Mês 2]],tb_Cartao_Credito_Detalhado[Mês/Ano],OFFSET(AV$4,0,-1)),
SUMIFS(tb_Cartao_Credito_Detalhado[[Mês 3]:[Mês 3]],tb_Cartao_Credito_Detalhado[Mês/Ano],OFFSET(AV$4,0,-2)),
SUMIFS(tb_Cartao_Credito_Detalhado[[Mês 4]:[Mês 4]],tb_Cartao_Credito_Detalhado[Mês/Ano],OFFSET(AV$4,0,-3)),
SUMIFS(tb_Cartao_Credito_Detalhado[[Mês 5]:[Mês 5]],tb_Cartao_Credito_Detalhado[Mês/Ano],OFFSET(AV$4,0,-4)),
SUMIFS(tb_Cartao_Credito_Detalhado[[Mês 6]:[Mês 6]],tb_Cartao_Credito_Detalhado[Mês/Ano],OFFSET(AV$4,0,-5)),
SUMIFS(tb_Cartao_Credito_Detalhado[[Mês 7]:[Mês 7]],tb_Cartao_Credito_Detalhado[Mês/Ano],OFFSET(AV$4,0,-6)),
SUMIFS(tb_Cartao_Credito_Detalhado[[Mês 8]:[Mês 8]],tb_Cartao_Credito_Detalhado[Mês/Ano],OFFSET(AV$4,0,-7)),
SUMIFS(tb_Cartao_Credito_Detalhado[[Mês 9]:[Mês 9]],tb_Cartao_Credito_Detalhado[Mês/Ano],OFFSET(AV$4,0,-8)),
SUMIFS(tb_Cartao_Credito_Detalhado[[Mês 10]:[Mês 10]],tb_Cartao_Credito_Detalhado[Mês/Ano],OFFSET(AV$4,0,-9)),
SUMIFS(tb_Cartao_Credito_Detalhado[[Mês 11]:[Mês 11]],tb_Cartao_Credito_Detalhado[Mês/Ano],OFFSET(AV$4,0,-10)),
SUMIFS(tb_Cartao_Credito_Detalhado[[Mês 12]:[Mês 12]],tb_Cartao_Credito_Detalhado[Mês/Ano],OFFSET(AV$4,0,-11)),
SUMIFS(tb_Cartao_Credito_Detalhado[[Mês 13]:[Mês 13]],tb_Cartao_Credito_Detalhado[Mês/Ano],OFFSET(AV$4,0,-12)),
SUMIFS(tb_Cartao_Credito_Detalhado[[Mês 14]:[Mês 14]],tb_Cartao_Credito_Detalhado[Mês/Ano],OFFSET(AV$4,0,-13)),
SUMIFS(tb_Cartao_Credito_Detalhado[[Mês 15]:[Mês 15]],tb_Cartao_Credito_Detalhado[Mês/Ano],OFFSET(AV$4,0,-14)),
SUMIFS(tb_Cartao_Credito_Detalhado[[Mês 16]:[Mês 16]],tb_Cartao_Credito_Detalhado[Mês/Ano],OFFSET(AV$4,0,-15)),
SUMIFS(tb_Cartao_Credito_Detalhado[[Mês 17]:[Mês 17]],tb_Cartao_Credito_Detalhado[Mês/Ano],OFFSET(AV$4,0,-16)),
SUMIFS(tb_Cartao_Credito_Detalhado[[Mês 18]:[Mês 18]],tb_Cartao_Credito_Detalhado[Mês/Ano],OFFSET(AV$4,0,-17)),
SUMIFS(tb_Cartao_Credito_Detalhado[[Mês 19]:[Mês 19]],tb_Cartao_Credito_Detalhado[Mês/Ano],OFFSET(AV$4,0,-18)),
SUMIFS(tb_Cartao_Credito_Detalhado[[Mês 20]:[Mês 20]],tb_Cartao_Credito_Detalhado[Mês/Ano],OFFSET(AV$4,0,-19)),
SUMIFS(tb_Cartao_Credito_Detalhado[[Mês 21]:[Mês 21]],tb_Cartao_Credito_Detalhado[Mês/Ano],OFFSET(AV$4,0,-20)),
SUMIFS(tb_Cartao_Credito_Detalhado[[Mês 22]:[Mês 22]],tb_Cartao_Credito_Detalhado[Mês/Ano],OFFSET(AV$4,0,-21)),
SUMIFS(tb_Cartao_Credito_Detalhado[[Mês 23]:[Mês 23]],tb_Cartao_Credito_Detalhado[Mês/Ano],OFFSET(AV$4,0,-22)),
SUMIFS(tb_Cartao_Credito_Detalhado[[Mês 24]:[Mês 24]],tb_Cartao_Credito_Detalhado[Mês/Ano],OFFSET(AV$4,0,-23)),
SUMIFS(tb_Cartao_Credito_Detalhado[[Mês 25]:[Mês 25]],tb_Cartao_Credito_Detalhado[Mês/Ano],OFFSET(AV$4,0,-24)),
SUMIFS(tb_Cartao_Credito_Detalhado[[Mês 26]:[Mês 26]],tb_Cartao_Credito_Detalhado[Mês/Ano],OFFSET(AV$4,0,-25)),
SUMIFS(tb_Cartao_Credito_Detalhado[[Mês 27]:[Mês 27]],tb_Cartao_Credito_Detalhado[Mês/Ano],OFFSET(AV$4,0,-26)),
SUMIFS(tb_Cartao_Credito_Detalhado[[Mês 28]:[Mês 28]],tb_Cartao_Credito_Detalhado[Mês/Ano],OFFSET(AV$4,0,-27)),
SUMIFS(tb_Cartao_Credito_Detalhado[[Mês 29]:[Mês 29]],tb_Cartao_Credito_Detalhado[Mês/Ano],OFFSET(AV$4,0,-28)),
SUMIFS(tb_Cartao_Credito_Detalhado[[Mês 30]:[Mês 30]],tb_Cartao_Credito_Detalhado[Mês/Ano],OFFSET(AV$4,0,-29)),
SUMIFS(tb_Cartao_Credito_Detalhado[[Mês 31]:[Mês 31]],tb_Cartao_Credito_Detalhado[Mês/Ano],OFFSET(AV$4,0,-30)),
SUMIFS(tb_Cartao_Credito_Detalhado[[Mês 32]:[Mês 32]],tb_Cartao_Credito_Detalhado[Mês/Ano],OFFSET(AV$4,0,-31)),
SUMIFS(tb_Cartao_Credito_Detalhado[[Mês 33]:[Mês 33]],tb_Cartao_Credito_Detalhado[Mês/Ano],OFFSET(AV$4,0,-32)),
SUMIFS(tb_Cartao_Credito_Detalhado[[Mês 34]:[Mês 34]],tb_Cartao_Credito_Detalhado[Mês/Ano],OFFSET(AV$4,0,-33)),
SUMIFS(tb_Cartao_Credito_Detalhado[[Mês 35]:[Mês 35]],tb_Cartao_Credito_Detalhado[Mês/Ano],OFFSET(AV$4,0,-34)),
SUMIFS(tb_Cartao_Credito_Detalhado[[Mês 36]:[Mês 36]],tb_Cartao_Credito_Detalhado[Mês/Ano],OFFSET(AV$4,0,-35)),
SUMIFS(tb_Cartao_Credito_Detalhado[[Mês 37]:[Mês 37]],tb_Cartao_Credito_Detalhado[Mês/Ano],OFFSET(AV$4,0,-36)),
SUMIFS(tb_Cartao_Credito_Detalhado[[Mês 38]:[Mês 38]],tb_Cartao_Credito_Detalhado[Mês/Ano],OFFSET(AV$4,0,-37)),
SUMIFS(tb_Cartao_Credito_Detalhado[[Mês 39]:[Mês 39]],tb_Cartao_Credito_Detalhado[Mês/Ano],OFFSET(AV$4,0,-38)),
SUMIFS(tb_Cartao_Credito_Detalhado[[Mês 40]:[Mês 40]],tb_Cartao_Credito_Detalhado[Mês/Ano],OFFSET(AV$4,0,-39)),
SUMIFS(tb_Cartao_Credito_Detalhado[[Mês 41]:[Mês 41]],tb_Cartao_Credito_Detalhado[Mês/Ano],OFFSET(AV$4,0,-40)),
SUMIFS(tb_Cartao_Credito_Detalhado[[Mês 42]:[Mês 42]],tb_Cartao_Credito_Detalhado[Mês/Ano],OFFSET(AV$4,0,-41)),
SUMIFS(tb_Cartao_Credito_Detalhado[[Mês 43]:[Mês 43]],tb_Cartao_Credito_Detalhado[Mês/Ano],OFFSET(AV$4,0,-42)),
SUMIFS(tb_Cartao_Credito_Detalhado[[Mês 44]:[Mês 44]],tb_Cartao_Credito_Detalhado[Mês/Ano],OFFSET(AV$4,0,-43)),
SUMIFS(tb_Cartao_Credito_Detalhado[[Mês 45]:[Mês 45]],tb_Cartao_Credito_Detalhado[Mês/Ano],OFFSET(AV$4,0,-44)),
)</f>
        <v>133.33333333333334</v>
      </c>
      <c r="AW5" s="28">
        <f ca="1">SUM(
SUMIFS(tb_Cartao_Credito_Detalhado[[Mês 1]:[Mês 1]],tb_Cartao_Credito_Detalhado[Mês/Ano],AW$4),
SUMIFS(tb_Cartao_Credito_Detalhado[[Mês 2]:[Mês 2]],tb_Cartao_Credito_Detalhado[Mês/Ano],OFFSET(AW$4,0,-1)),
SUMIFS(tb_Cartao_Credito_Detalhado[[Mês 3]:[Mês 3]],tb_Cartao_Credito_Detalhado[Mês/Ano],OFFSET(AW$4,0,-2)),
SUMIFS(tb_Cartao_Credito_Detalhado[[Mês 4]:[Mês 4]],tb_Cartao_Credito_Detalhado[Mês/Ano],OFFSET(AW$4,0,-3)),
SUMIFS(tb_Cartao_Credito_Detalhado[[Mês 5]:[Mês 5]],tb_Cartao_Credito_Detalhado[Mês/Ano],OFFSET(AW$4,0,-4)),
SUMIFS(tb_Cartao_Credito_Detalhado[[Mês 6]:[Mês 6]],tb_Cartao_Credito_Detalhado[Mês/Ano],OFFSET(AW$4,0,-5)),
SUMIFS(tb_Cartao_Credito_Detalhado[[Mês 7]:[Mês 7]],tb_Cartao_Credito_Detalhado[Mês/Ano],OFFSET(AW$4,0,-6)),
SUMIFS(tb_Cartao_Credito_Detalhado[[Mês 8]:[Mês 8]],tb_Cartao_Credito_Detalhado[Mês/Ano],OFFSET(AW$4,0,-7)),
SUMIFS(tb_Cartao_Credito_Detalhado[[Mês 9]:[Mês 9]],tb_Cartao_Credito_Detalhado[Mês/Ano],OFFSET(AW$4,0,-8)),
SUMIFS(tb_Cartao_Credito_Detalhado[[Mês 10]:[Mês 10]],tb_Cartao_Credito_Detalhado[Mês/Ano],OFFSET(AW$4,0,-9)),
SUMIFS(tb_Cartao_Credito_Detalhado[[Mês 11]:[Mês 11]],tb_Cartao_Credito_Detalhado[Mês/Ano],OFFSET(AW$4,0,-10)),
SUMIFS(tb_Cartao_Credito_Detalhado[[Mês 12]:[Mês 12]],tb_Cartao_Credito_Detalhado[Mês/Ano],OFFSET(AW$4,0,-11)),
SUMIFS(tb_Cartao_Credito_Detalhado[[Mês 13]:[Mês 13]],tb_Cartao_Credito_Detalhado[Mês/Ano],OFFSET(AW$4,0,-12)),
SUMIFS(tb_Cartao_Credito_Detalhado[[Mês 14]:[Mês 14]],tb_Cartao_Credito_Detalhado[Mês/Ano],OFFSET(AW$4,0,-13)),
SUMIFS(tb_Cartao_Credito_Detalhado[[Mês 15]:[Mês 15]],tb_Cartao_Credito_Detalhado[Mês/Ano],OFFSET(AW$4,0,-14)),
SUMIFS(tb_Cartao_Credito_Detalhado[[Mês 16]:[Mês 16]],tb_Cartao_Credito_Detalhado[Mês/Ano],OFFSET(AW$4,0,-15)),
SUMIFS(tb_Cartao_Credito_Detalhado[[Mês 17]:[Mês 17]],tb_Cartao_Credito_Detalhado[Mês/Ano],OFFSET(AW$4,0,-16)),
SUMIFS(tb_Cartao_Credito_Detalhado[[Mês 18]:[Mês 18]],tb_Cartao_Credito_Detalhado[Mês/Ano],OFFSET(AW$4,0,-17)),
SUMIFS(tb_Cartao_Credito_Detalhado[[Mês 19]:[Mês 19]],tb_Cartao_Credito_Detalhado[Mês/Ano],OFFSET(AW$4,0,-18)),
SUMIFS(tb_Cartao_Credito_Detalhado[[Mês 20]:[Mês 20]],tb_Cartao_Credito_Detalhado[Mês/Ano],OFFSET(AW$4,0,-19)),
SUMIFS(tb_Cartao_Credito_Detalhado[[Mês 21]:[Mês 21]],tb_Cartao_Credito_Detalhado[Mês/Ano],OFFSET(AW$4,0,-20)),
SUMIFS(tb_Cartao_Credito_Detalhado[[Mês 22]:[Mês 22]],tb_Cartao_Credito_Detalhado[Mês/Ano],OFFSET(AW$4,0,-21)),
SUMIFS(tb_Cartao_Credito_Detalhado[[Mês 23]:[Mês 23]],tb_Cartao_Credito_Detalhado[Mês/Ano],OFFSET(AW$4,0,-22)),
SUMIFS(tb_Cartao_Credito_Detalhado[[Mês 24]:[Mês 24]],tb_Cartao_Credito_Detalhado[Mês/Ano],OFFSET(AW$4,0,-23)),
SUMIFS(tb_Cartao_Credito_Detalhado[[Mês 25]:[Mês 25]],tb_Cartao_Credito_Detalhado[Mês/Ano],OFFSET(AW$4,0,-24)),
SUMIFS(tb_Cartao_Credito_Detalhado[[Mês 26]:[Mês 26]],tb_Cartao_Credito_Detalhado[Mês/Ano],OFFSET(AW$4,0,-25)),
SUMIFS(tb_Cartao_Credito_Detalhado[[Mês 27]:[Mês 27]],tb_Cartao_Credito_Detalhado[Mês/Ano],OFFSET(AW$4,0,-26)),
SUMIFS(tb_Cartao_Credito_Detalhado[[Mês 28]:[Mês 28]],tb_Cartao_Credito_Detalhado[Mês/Ano],OFFSET(AW$4,0,-27)),
SUMIFS(tb_Cartao_Credito_Detalhado[[Mês 29]:[Mês 29]],tb_Cartao_Credito_Detalhado[Mês/Ano],OFFSET(AW$4,0,-28)),
SUMIFS(tb_Cartao_Credito_Detalhado[[Mês 30]:[Mês 30]],tb_Cartao_Credito_Detalhado[Mês/Ano],OFFSET(AW$4,0,-29)),
SUMIFS(tb_Cartao_Credito_Detalhado[[Mês 31]:[Mês 31]],tb_Cartao_Credito_Detalhado[Mês/Ano],OFFSET(AW$4,0,-30)),
SUMIFS(tb_Cartao_Credito_Detalhado[[Mês 32]:[Mês 32]],tb_Cartao_Credito_Detalhado[Mês/Ano],OFFSET(AW$4,0,-31)),
SUMIFS(tb_Cartao_Credito_Detalhado[[Mês 33]:[Mês 33]],tb_Cartao_Credito_Detalhado[Mês/Ano],OFFSET(AW$4,0,-32)),
SUMIFS(tb_Cartao_Credito_Detalhado[[Mês 34]:[Mês 34]],tb_Cartao_Credito_Detalhado[Mês/Ano],OFFSET(AW$4,0,-33)),
SUMIFS(tb_Cartao_Credito_Detalhado[[Mês 35]:[Mês 35]],tb_Cartao_Credito_Detalhado[Mês/Ano],OFFSET(AW$4,0,-34)),
SUMIFS(tb_Cartao_Credito_Detalhado[[Mês 36]:[Mês 36]],tb_Cartao_Credito_Detalhado[Mês/Ano],OFFSET(AW$4,0,-35)),
SUMIFS(tb_Cartao_Credito_Detalhado[[Mês 37]:[Mês 37]],tb_Cartao_Credito_Detalhado[Mês/Ano],OFFSET(AW$4,0,-36)),
SUMIFS(tb_Cartao_Credito_Detalhado[[Mês 38]:[Mês 38]],tb_Cartao_Credito_Detalhado[Mês/Ano],OFFSET(AW$4,0,-37)),
SUMIFS(tb_Cartao_Credito_Detalhado[[Mês 39]:[Mês 39]],tb_Cartao_Credito_Detalhado[Mês/Ano],OFFSET(AW$4,0,-38)),
SUMIFS(tb_Cartao_Credito_Detalhado[[Mês 40]:[Mês 40]],tb_Cartao_Credito_Detalhado[Mês/Ano],OFFSET(AW$4,0,-39)),
SUMIFS(tb_Cartao_Credito_Detalhado[[Mês 41]:[Mês 41]],tb_Cartao_Credito_Detalhado[Mês/Ano],OFFSET(AW$4,0,-40)),
SUMIFS(tb_Cartao_Credito_Detalhado[[Mês 42]:[Mês 42]],tb_Cartao_Credito_Detalhado[Mês/Ano],OFFSET(AW$4,0,-41)),
SUMIFS(tb_Cartao_Credito_Detalhado[[Mês 43]:[Mês 43]],tb_Cartao_Credito_Detalhado[Mês/Ano],OFFSET(AW$4,0,-42)),
SUMIFS(tb_Cartao_Credito_Detalhado[[Mês 44]:[Mês 44]],tb_Cartao_Credito_Detalhado[Mês/Ano],OFFSET(AW$4,0,-43)),
SUMIFS(tb_Cartao_Credito_Detalhado[[Mês 45]:[Mês 45]],tb_Cartao_Credito_Detalhado[Mês/Ano],OFFSET(AW$4,0,-44)),
)</f>
        <v>133.33333333333334</v>
      </c>
      <c r="AX5" s="28">
        <f ca="1">SUM(
SUMIFS(tb_Cartao_Credito_Detalhado[[Mês 1]:[Mês 1]],tb_Cartao_Credito_Detalhado[Mês/Ano],AX$4),
SUMIFS(tb_Cartao_Credito_Detalhado[[Mês 2]:[Mês 2]],tb_Cartao_Credito_Detalhado[Mês/Ano],OFFSET(AX$4,0,-1)),
SUMIFS(tb_Cartao_Credito_Detalhado[[Mês 3]:[Mês 3]],tb_Cartao_Credito_Detalhado[Mês/Ano],OFFSET(AX$4,0,-2)),
SUMIFS(tb_Cartao_Credito_Detalhado[[Mês 4]:[Mês 4]],tb_Cartao_Credito_Detalhado[Mês/Ano],OFFSET(AX$4,0,-3)),
SUMIFS(tb_Cartao_Credito_Detalhado[[Mês 5]:[Mês 5]],tb_Cartao_Credito_Detalhado[Mês/Ano],OFFSET(AX$4,0,-4)),
SUMIFS(tb_Cartao_Credito_Detalhado[[Mês 6]:[Mês 6]],tb_Cartao_Credito_Detalhado[Mês/Ano],OFFSET(AX$4,0,-5)),
SUMIFS(tb_Cartao_Credito_Detalhado[[Mês 7]:[Mês 7]],tb_Cartao_Credito_Detalhado[Mês/Ano],OFFSET(AX$4,0,-6)),
SUMIFS(tb_Cartao_Credito_Detalhado[[Mês 8]:[Mês 8]],tb_Cartao_Credito_Detalhado[Mês/Ano],OFFSET(AX$4,0,-7)),
SUMIFS(tb_Cartao_Credito_Detalhado[[Mês 9]:[Mês 9]],tb_Cartao_Credito_Detalhado[Mês/Ano],OFFSET(AX$4,0,-8)),
SUMIFS(tb_Cartao_Credito_Detalhado[[Mês 10]:[Mês 10]],tb_Cartao_Credito_Detalhado[Mês/Ano],OFFSET(AX$4,0,-9)),
SUMIFS(tb_Cartao_Credito_Detalhado[[Mês 11]:[Mês 11]],tb_Cartao_Credito_Detalhado[Mês/Ano],OFFSET(AX$4,0,-10)),
SUMIFS(tb_Cartao_Credito_Detalhado[[Mês 12]:[Mês 12]],tb_Cartao_Credito_Detalhado[Mês/Ano],OFFSET(AX$4,0,-11)),
SUMIFS(tb_Cartao_Credito_Detalhado[[Mês 13]:[Mês 13]],tb_Cartao_Credito_Detalhado[Mês/Ano],OFFSET(AX$4,0,-12)),
SUMIFS(tb_Cartao_Credito_Detalhado[[Mês 14]:[Mês 14]],tb_Cartao_Credito_Detalhado[Mês/Ano],OFFSET(AX$4,0,-13)),
SUMIFS(tb_Cartao_Credito_Detalhado[[Mês 15]:[Mês 15]],tb_Cartao_Credito_Detalhado[Mês/Ano],OFFSET(AX$4,0,-14)),
SUMIFS(tb_Cartao_Credito_Detalhado[[Mês 16]:[Mês 16]],tb_Cartao_Credito_Detalhado[Mês/Ano],OFFSET(AX$4,0,-15)),
SUMIFS(tb_Cartao_Credito_Detalhado[[Mês 17]:[Mês 17]],tb_Cartao_Credito_Detalhado[Mês/Ano],OFFSET(AX$4,0,-16)),
SUMIFS(tb_Cartao_Credito_Detalhado[[Mês 18]:[Mês 18]],tb_Cartao_Credito_Detalhado[Mês/Ano],OFFSET(AX$4,0,-17)),
SUMIFS(tb_Cartao_Credito_Detalhado[[Mês 19]:[Mês 19]],tb_Cartao_Credito_Detalhado[Mês/Ano],OFFSET(AX$4,0,-18)),
SUMIFS(tb_Cartao_Credito_Detalhado[[Mês 20]:[Mês 20]],tb_Cartao_Credito_Detalhado[Mês/Ano],OFFSET(AX$4,0,-19)),
SUMIFS(tb_Cartao_Credito_Detalhado[[Mês 21]:[Mês 21]],tb_Cartao_Credito_Detalhado[Mês/Ano],OFFSET(AX$4,0,-20)),
SUMIFS(tb_Cartao_Credito_Detalhado[[Mês 22]:[Mês 22]],tb_Cartao_Credito_Detalhado[Mês/Ano],OFFSET(AX$4,0,-21)),
SUMIFS(tb_Cartao_Credito_Detalhado[[Mês 23]:[Mês 23]],tb_Cartao_Credito_Detalhado[Mês/Ano],OFFSET(AX$4,0,-22)),
SUMIFS(tb_Cartao_Credito_Detalhado[[Mês 24]:[Mês 24]],tb_Cartao_Credito_Detalhado[Mês/Ano],OFFSET(AX$4,0,-23)),
SUMIFS(tb_Cartao_Credito_Detalhado[[Mês 25]:[Mês 25]],tb_Cartao_Credito_Detalhado[Mês/Ano],OFFSET(AX$4,0,-24)),
SUMIFS(tb_Cartao_Credito_Detalhado[[Mês 26]:[Mês 26]],tb_Cartao_Credito_Detalhado[Mês/Ano],OFFSET(AX$4,0,-25)),
SUMIFS(tb_Cartao_Credito_Detalhado[[Mês 27]:[Mês 27]],tb_Cartao_Credito_Detalhado[Mês/Ano],OFFSET(AX$4,0,-26)),
SUMIFS(tb_Cartao_Credito_Detalhado[[Mês 28]:[Mês 28]],tb_Cartao_Credito_Detalhado[Mês/Ano],OFFSET(AX$4,0,-27)),
SUMIFS(tb_Cartao_Credito_Detalhado[[Mês 29]:[Mês 29]],tb_Cartao_Credito_Detalhado[Mês/Ano],OFFSET(AX$4,0,-28)),
SUMIFS(tb_Cartao_Credito_Detalhado[[Mês 30]:[Mês 30]],tb_Cartao_Credito_Detalhado[Mês/Ano],OFFSET(AX$4,0,-29)),
SUMIFS(tb_Cartao_Credito_Detalhado[[Mês 31]:[Mês 31]],tb_Cartao_Credito_Detalhado[Mês/Ano],OFFSET(AX$4,0,-30)),
SUMIFS(tb_Cartao_Credito_Detalhado[[Mês 32]:[Mês 32]],tb_Cartao_Credito_Detalhado[Mês/Ano],OFFSET(AX$4,0,-31)),
SUMIFS(tb_Cartao_Credito_Detalhado[[Mês 33]:[Mês 33]],tb_Cartao_Credito_Detalhado[Mês/Ano],OFFSET(AX$4,0,-32)),
SUMIFS(tb_Cartao_Credito_Detalhado[[Mês 34]:[Mês 34]],tb_Cartao_Credito_Detalhado[Mês/Ano],OFFSET(AX$4,0,-33)),
SUMIFS(tb_Cartao_Credito_Detalhado[[Mês 35]:[Mês 35]],tb_Cartao_Credito_Detalhado[Mês/Ano],OFFSET(AX$4,0,-34)),
SUMIFS(tb_Cartao_Credito_Detalhado[[Mês 36]:[Mês 36]],tb_Cartao_Credito_Detalhado[Mês/Ano],OFFSET(AX$4,0,-35)),
SUMIFS(tb_Cartao_Credito_Detalhado[[Mês 37]:[Mês 37]],tb_Cartao_Credito_Detalhado[Mês/Ano],OFFSET(AX$4,0,-36)),
SUMIFS(tb_Cartao_Credito_Detalhado[[Mês 38]:[Mês 38]],tb_Cartao_Credito_Detalhado[Mês/Ano],OFFSET(AX$4,0,-37)),
SUMIFS(tb_Cartao_Credito_Detalhado[[Mês 39]:[Mês 39]],tb_Cartao_Credito_Detalhado[Mês/Ano],OFFSET(AX$4,0,-38)),
SUMIFS(tb_Cartao_Credito_Detalhado[[Mês 40]:[Mês 40]],tb_Cartao_Credito_Detalhado[Mês/Ano],OFFSET(AX$4,0,-39)),
SUMIFS(tb_Cartao_Credito_Detalhado[[Mês 41]:[Mês 41]],tb_Cartao_Credito_Detalhado[Mês/Ano],OFFSET(AX$4,0,-40)),
SUMIFS(tb_Cartao_Credito_Detalhado[[Mês 42]:[Mês 42]],tb_Cartao_Credito_Detalhado[Mês/Ano],OFFSET(AX$4,0,-41)),
SUMIFS(tb_Cartao_Credito_Detalhado[[Mês 43]:[Mês 43]],tb_Cartao_Credito_Detalhado[Mês/Ano],OFFSET(AX$4,0,-42)),
SUMIFS(tb_Cartao_Credito_Detalhado[[Mês 44]:[Mês 44]],tb_Cartao_Credito_Detalhado[Mês/Ano],OFFSET(AX$4,0,-43)),
SUMIFS(tb_Cartao_Credito_Detalhado[[Mês 45]:[Mês 45]],tb_Cartao_Credito_Detalhado[Mês/Ano],OFFSET(AX$4,0,-44)),
)</f>
        <v>133.33333333333334</v>
      </c>
      <c r="AY5" s="28">
        <f ca="1">SUM(
SUMIFS(tb_Cartao_Credito_Detalhado[[Mês 1]:[Mês 1]],tb_Cartao_Credito_Detalhado[Mês/Ano],AY$4),
SUMIFS(tb_Cartao_Credito_Detalhado[[Mês 2]:[Mês 2]],tb_Cartao_Credito_Detalhado[Mês/Ano],OFFSET(AY$4,0,-1)),
SUMIFS(tb_Cartao_Credito_Detalhado[[Mês 3]:[Mês 3]],tb_Cartao_Credito_Detalhado[Mês/Ano],OFFSET(AY$4,0,-2)),
SUMIFS(tb_Cartao_Credito_Detalhado[[Mês 4]:[Mês 4]],tb_Cartao_Credito_Detalhado[Mês/Ano],OFFSET(AY$4,0,-3)),
SUMIFS(tb_Cartao_Credito_Detalhado[[Mês 5]:[Mês 5]],tb_Cartao_Credito_Detalhado[Mês/Ano],OFFSET(AY$4,0,-4)),
SUMIFS(tb_Cartao_Credito_Detalhado[[Mês 6]:[Mês 6]],tb_Cartao_Credito_Detalhado[Mês/Ano],OFFSET(AY$4,0,-5)),
SUMIFS(tb_Cartao_Credito_Detalhado[[Mês 7]:[Mês 7]],tb_Cartao_Credito_Detalhado[Mês/Ano],OFFSET(AY$4,0,-6)),
SUMIFS(tb_Cartao_Credito_Detalhado[[Mês 8]:[Mês 8]],tb_Cartao_Credito_Detalhado[Mês/Ano],OFFSET(AY$4,0,-7)),
SUMIFS(tb_Cartao_Credito_Detalhado[[Mês 9]:[Mês 9]],tb_Cartao_Credito_Detalhado[Mês/Ano],OFFSET(AY$4,0,-8)),
SUMIFS(tb_Cartao_Credito_Detalhado[[Mês 10]:[Mês 10]],tb_Cartao_Credito_Detalhado[Mês/Ano],OFFSET(AY$4,0,-9)),
SUMIFS(tb_Cartao_Credito_Detalhado[[Mês 11]:[Mês 11]],tb_Cartao_Credito_Detalhado[Mês/Ano],OFFSET(AY$4,0,-10)),
SUMIFS(tb_Cartao_Credito_Detalhado[[Mês 12]:[Mês 12]],tb_Cartao_Credito_Detalhado[Mês/Ano],OFFSET(AY$4,0,-11)),
SUMIFS(tb_Cartao_Credito_Detalhado[[Mês 13]:[Mês 13]],tb_Cartao_Credito_Detalhado[Mês/Ano],OFFSET(AY$4,0,-12)),
SUMIFS(tb_Cartao_Credito_Detalhado[[Mês 14]:[Mês 14]],tb_Cartao_Credito_Detalhado[Mês/Ano],OFFSET(AY$4,0,-13)),
SUMIFS(tb_Cartao_Credito_Detalhado[[Mês 15]:[Mês 15]],tb_Cartao_Credito_Detalhado[Mês/Ano],OFFSET(AY$4,0,-14)),
SUMIFS(tb_Cartao_Credito_Detalhado[[Mês 16]:[Mês 16]],tb_Cartao_Credito_Detalhado[Mês/Ano],OFFSET(AY$4,0,-15)),
SUMIFS(tb_Cartao_Credito_Detalhado[[Mês 17]:[Mês 17]],tb_Cartao_Credito_Detalhado[Mês/Ano],OFFSET(AY$4,0,-16)),
SUMIFS(tb_Cartao_Credito_Detalhado[[Mês 18]:[Mês 18]],tb_Cartao_Credito_Detalhado[Mês/Ano],OFFSET(AY$4,0,-17)),
SUMIFS(tb_Cartao_Credito_Detalhado[[Mês 19]:[Mês 19]],tb_Cartao_Credito_Detalhado[Mês/Ano],OFFSET(AY$4,0,-18)),
SUMIFS(tb_Cartao_Credito_Detalhado[[Mês 20]:[Mês 20]],tb_Cartao_Credito_Detalhado[Mês/Ano],OFFSET(AY$4,0,-19)),
SUMIFS(tb_Cartao_Credito_Detalhado[[Mês 21]:[Mês 21]],tb_Cartao_Credito_Detalhado[Mês/Ano],OFFSET(AY$4,0,-20)),
SUMIFS(tb_Cartao_Credito_Detalhado[[Mês 22]:[Mês 22]],tb_Cartao_Credito_Detalhado[Mês/Ano],OFFSET(AY$4,0,-21)),
SUMIFS(tb_Cartao_Credito_Detalhado[[Mês 23]:[Mês 23]],tb_Cartao_Credito_Detalhado[Mês/Ano],OFFSET(AY$4,0,-22)),
SUMIFS(tb_Cartao_Credito_Detalhado[[Mês 24]:[Mês 24]],tb_Cartao_Credito_Detalhado[Mês/Ano],OFFSET(AY$4,0,-23)),
SUMIFS(tb_Cartao_Credito_Detalhado[[Mês 25]:[Mês 25]],tb_Cartao_Credito_Detalhado[Mês/Ano],OFFSET(AY$4,0,-24)),
SUMIFS(tb_Cartao_Credito_Detalhado[[Mês 26]:[Mês 26]],tb_Cartao_Credito_Detalhado[Mês/Ano],OFFSET(AY$4,0,-25)),
SUMIFS(tb_Cartao_Credito_Detalhado[[Mês 27]:[Mês 27]],tb_Cartao_Credito_Detalhado[Mês/Ano],OFFSET(AY$4,0,-26)),
SUMIFS(tb_Cartao_Credito_Detalhado[[Mês 28]:[Mês 28]],tb_Cartao_Credito_Detalhado[Mês/Ano],OFFSET(AY$4,0,-27)),
SUMIFS(tb_Cartao_Credito_Detalhado[[Mês 29]:[Mês 29]],tb_Cartao_Credito_Detalhado[Mês/Ano],OFFSET(AY$4,0,-28)),
SUMIFS(tb_Cartao_Credito_Detalhado[[Mês 30]:[Mês 30]],tb_Cartao_Credito_Detalhado[Mês/Ano],OFFSET(AY$4,0,-29)),
SUMIFS(tb_Cartao_Credito_Detalhado[[Mês 31]:[Mês 31]],tb_Cartao_Credito_Detalhado[Mês/Ano],OFFSET(AY$4,0,-30)),
SUMIFS(tb_Cartao_Credito_Detalhado[[Mês 32]:[Mês 32]],tb_Cartao_Credito_Detalhado[Mês/Ano],OFFSET(AY$4,0,-31)),
SUMIFS(tb_Cartao_Credito_Detalhado[[Mês 33]:[Mês 33]],tb_Cartao_Credito_Detalhado[Mês/Ano],OFFSET(AY$4,0,-32)),
SUMIFS(tb_Cartao_Credito_Detalhado[[Mês 34]:[Mês 34]],tb_Cartao_Credito_Detalhado[Mês/Ano],OFFSET(AY$4,0,-33)),
SUMIFS(tb_Cartao_Credito_Detalhado[[Mês 35]:[Mês 35]],tb_Cartao_Credito_Detalhado[Mês/Ano],OFFSET(AY$4,0,-34)),
SUMIFS(tb_Cartao_Credito_Detalhado[[Mês 36]:[Mês 36]],tb_Cartao_Credito_Detalhado[Mês/Ano],OFFSET(AY$4,0,-35)),
SUMIFS(tb_Cartao_Credito_Detalhado[[Mês 37]:[Mês 37]],tb_Cartao_Credito_Detalhado[Mês/Ano],OFFSET(AY$4,0,-36)),
SUMIFS(tb_Cartao_Credito_Detalhado[[Mês 38]:[Mês 38]],tb_Cartao_Credito_Detalhado[Mês/Ano],OFFSET(AY$4,0,-37)),
SUMIFS(tb_Cartao_Credito_Detalhado[[Mês 39]:[Mês 39]],tb_Cartao_Credito_Detalhado[Mês/Ano],OFFSET(AY$4,0,-38)),
SUMIFS(tb_Cartao_Credito_Detalhado[[Mês 40]:[Mês 40]],tb_Cartao_Credito_Detalhado[Mês/Ano],OFFSET(AY$4,0,-39)),
SUMIFS(tb_Cartao_Credito_Detalhado[[Mês 41]:[Mês 41]],tb_Cartao_Credito_Detalhado[Mês/Ano],OFFSET(AY$4,0,-40)),
SUMIFS(tb_Cartao_Credito_Detalhado[[Mês 42]:[Mês 42]],tb_Cartao_Credito_Detalhado[Mês/Ano],OFFSET(AY$4,0,-41)),
SUMIFS(tb_Cartao_Credito_Detalhado[[Mês 43]:[Mês 43]],tb_Cartao_Credito_Detalhado[Mês/Ano],OFFSET(AY$4,0,-42)),
SUMIFS(tb_Cartao_Credito_Detalhado[[Mês 44]:[Mês 44]],tb_Cartao_Credito_Detalhado[Mês/Ano],OFFSET(AY$4,0,-43)),
SUMIFS(tb_Cartao_Credito_Detalhado[[Mês 45]:[Mês 45]],tb_Cartao_Credito_Detalhado[Mês/Ano],OFFSET(AY$4,0,-44)),
)</f>
        <v>133.33333333333334</v>
      </c>
      <c r="AZ5" s="28">
        <f ca="1">SUM(
SUMIFS(tb_Cartao_Credito_Detalhado[[Mês 1]:[Mês 1]],tb_Cartao_Credito_Detalhado[Mês/Ano],AZ$4),
SUMIFS(tb_Cartao_Credito_Detalhado[[Mês 2]:[Mês 2]],tb_Cartao_Credito_Detalhado[Mês/Ano],OFFSET(AZ$4,0,-1)),
SUMIFS(tb_Cartao_Credito_Detalhado[[Mês 3]:[Mês 3]],tb_Cartao_Credito_Detalhado[Mês/Ano],OFFSET(AZ$4,0,-2)),
SUMIFS(tb_Cartao_Credito_Detalhado[[Mês 4]:[Mês 4]],tb_Cartao_Credito_Detalhado[Mês/Ano],OFFSET(AZ$4,0,-3)),
SUMIFS(tb_Cartao_Credito_Detalhado[[Mês 5]:[Mês 5]],tb_Cartao_Credito_Detalhado[Mês/Ano],OFFSET(AZ$4,0,-4)),
SUMIFS(tb_Cartao_Credito_Detalhado[[Mês 6]:[Mês 6]],tb_Cartao_Credito_Detalhado[Mês/Ano],OFFSET(AZ$4,0,-5)),
SUMIFS(tb_Cartao_Credito_Detalhado[[Mês 7]:[Mês 7]],tb_Cartao_Credito_Detalhado[Mês/Ano],OFFSET(AZ$4,0,-6)),
SUMIFS(tb_Cartao_Credito_Detalhado[[Mês 8]:[Mês 8]],tb_Cartao_Credito_Detalhado[Mês/Ano],OFFSET(AZ$4,0,-7)),
SUMIFS(tb_Cartao_Credito_Detalhado[[Mês 9]:[Mês 9]],tb_Cartao_Credito_Detalhado[Mês/Ano],OFFSET(AZ$4,0,-8)),
SUMIFS(tb_Cartao_Credito_Detalhado[[Mês 10]:[Mês 10]],tb_Cartao_Credito_Detalhado[Mês/Ano],OFFSET(AZ$4,0,-9)),
SUMIFS(tb_Cartao_Credito_Detalhado[[Mês 11]:[Mês 11]],tb_Cartao_Credito_Detalhado[Mês/Ano],OFFSET(AZ$4,0,-10)),
SUMIFS(tb_Cartao_Credito_Detalhado[[Mês 12]:[Mês 12]],tb_Cartao_Credito_Detalhado[Mês/Ano],OFFSET(AZ$4,0,-11)),
SUMIFS(tb_Cartao_Credito_Detalhado[[Mês 13]:[Mês 13]],tb_Cartao_Credito_Detalhado[Mês/Ano],OFFSET(AZ$4,0,-12)),
SUMIFS(tb_Cartao_Credito_Detalhado[[Mês 14]:[Mês 14]],tb_Cartao_Credito_Detalhado[Mês/Ano],OFFSET(AZ$4,0,-13)),
SUMIFS(tb_Cartao_Credito_Detalhado[[Mês 15]:[Mês 15]],tb_Cartao_Credito_Detalhado[Mês/Ano],OFFSET(AZ$4,0,-14)),
SUMIFS(tb_Cartao_Credito_Detalhado[[Mês 16]:[Mês 16]],tb_Cartao_Credito_Detalhado[Mês/Ano],OFFSET(AZ$4,0,-15)),
SUMIFS(tb_Cartao_Credito_Detalhado[[Mês 17]:[Mês 17]],tb_Cartao_Credito_Detalhado[Mês/Ano],OFFSET(AZ$4,0,-16)),
SUMIFS(tb_Cartao_Credito_Detalhado[[Mês 18]:[Mês 18]],tb_Cartao_Credito_Detalhado[Mês/Ano],OFFSET(AZ$4,0,-17)),
SUMIFS(tb_Cartao_Credito_Detalhado[[Mês 19]:[Mês 19]],tb_Cartao_Credito_Detalhado[Mês/Ano],OFFSET(AZ$4,0,-18)),
SUMIFS(tb_Cartao_Credito_Detalhado[[Mês 20]:[Mês 20]],tb_Cartao_Credito_Detalhado[Mês/Ano],OFFSET(AZ$4,0,-19)),
SUMIFS(tb_Cartao_Credito_Detalhado[[Mês 21]:[Mês 21]],tb_Cartao_Credito_Detalhado[Mês/Ano],OFFSET(AZ$4,0,-20)),
SUMIFS(tb_Cartao_Credito_Detalhado[[Mês 22]:[Mês 22]],tb_Cartao_Credito_Detalhado[Mês/Ano],OFFSET(AZ$4,0,-21)),
SUMIFS(tb_Cartao_Credito_Detalhado[[Mês 23]:[Mês 23]],tb_Cartao_Credito_Detalhado[Mês/Ano],OFFSET(AZ$4,0,-22)),
SUMIFS(tb_Cartao_Credito_Detalhado[[Mês 24]:[Mês 24]],tb_Cartao_Credito_Detalhado[Mês/Ano],OFFSET(AZ$4,0,-23)),
SUMIFS(tb_Cartao_Credito_Detalhado[[Mês 25]:[Mês 25]],tb_Cartao_Credito_Detalhado[Mês/Ano],OFFSET(AZ$4,0,-24)),
SUMIFS(tb_Cartao_Credito_Detalhado[[Mês 26]:[Mês 26]],tb_Cartao_Credito_Detalhado[Mês/Ano],OFFSET(AZ$4,0,-25)),
SUMIFS(tb_Cartao_Credito_Detalhado[[Mês 27]:[Mês 27]],tb_Cartao_Credito_Detalhado[Mês/Ano],OFFSET(AZ$4,0,-26)),
SUMIFS(tb_Cartao_Credito_Detalhado[[Mês 28]:[Mês 28]],tb_Cartao_Credito_Detalhado[Mês/Ano],OFFSET(AZ$4,0,-27)),
SUMIFS(tb_Cartao_Credito_Detalhado[[Mês 29]:[Mês 29]],tb_Cartao_Credito_Detalhado[Mês/Ano],OFFSET(AZ$4,0,-28)),
SUMIFS(tb_Cartao_Credito_Detalhado[[Mês 30]:[Mês 30]],tb_Cartao_Credito_Detalhado[Mês/Ano],OFFSET(AZ$4,0,-29)),
SUMIFS(tb_Cartao_Credito_Detalhado[[Mês 31]:[Mês 31]],tb_Cartao_Credito_Detalhado[Mês/Ano],OFFSET(AZ$4,0,-30)),
SUMIFS(tb_Cartao_Credito_Detalhado[[Mês 32]:[Mês 32]],tb_Cartao_Credito_Detalhado[Mês/Ano],OFFSET(AZ$4,0,-31)),
SUMIFS(tb_Cartao_Credito_Detalhado[[Mês 33]:[Mês 33]],tb_Cartao_Credito_Detalhado[Mês/Ano],OFFSET(AZ$4,0,-32)),
SUMIFS(tb_Cartao_Credito_Detalhado[[Mês 34]:[Mês 34]],tb_Cartao_Credito_Detalhado[Mês/Ano],OFFSET(AZ$4,0,-33)),
SUMIFS(tb_Cartao_Credito_Detalhado[[Mês 35]:[Mês 35]],tb_Cartao_Credito_Detalhado[Mês/Ano],OFFSET(AZ$4,0,-34)),
SUMIFS(tb_Cartao_Credito_Detalhado[[Mês 36]:[Mês 36]],tb_Cartao_Credito_Detalhado[Mês/Ano],OFFSET(AZ$4,0,-35)),
SUMIFS(tb_Cartao_Credito_Detalhado[[Mês 37]:[Mês 37]],tb_Cartao_Credito_Detalhado[Mês/Ano],OFFSET(AZ$4,0,-36)),
SUMIFS(tb_Cartao_Credito_Detalhado[[Mês 38]:[Mês 38]],tb_Cartao_Credito_Detalhado[Mês/Ano],OFFSET(AZ$4,0,-37)),
SUMIFS(tb_Cartao_Credito_Detalhado[[Mês 39]:[Mês 39]],tb_Cartao_Credito_Detalhado[Mês/Ano],OFFSET(AZ$4,0,-38)),
SUMIFS(tb_Cartao_Credito_Detalhado[[Mês 40]:[Mês 40]],tb_Cartao_Credito_Detalhado[Mês/Ano],OFFSET(AZ$4,0,-39)),
SUMIFS(tb_Cartao_Credito_Detalhado[[Mês 41]:[Mês 41]],tb_Cartao_Credito_Detalhado[Mês/Ano],OFFSET(AZ$4,0,-40)),
SUMIFS(tb_Cartao_Credito_Detalhado[[Mês 42]:[Mês 42]],tb_Cartao_Credito_Detalhado[Mês/Ano],OFFSET(AZ$4,0,-41)),
SUMIFS(tb_Cartao_Credito_Detalhado[[Mês 43]:[Mês 43]],tb_Cartao_Credito_Detalhado[Mês/Ano],OFFSET(AZ$4,0,-42)),
SUMIFS(tb_Cartao_Credito_Detalhado[[Mês 44]:[Mês 44]],tb_Cartao_Credito_Detalhado[Mês/Ano],OFFSET(AZ$4,0,-43)),
SUMIFS(tb_Cartao_Credito_Detalhado[[Mês 45]:[Mês 45]],tb_Cartao_Credito_Detalhado[Mês/Ano],OFFSET(AZ$4,0,-44)),
)</f>
        <v>0</v>
      </c>
    </row>
    <row r="7" spans="2:52" x14ac:dyDescent="0.25">
      <c r="D7" s="34">
        <v>42736</v>
      </c>
      <c r="E7" s="35">
        <v>42767</v>
      </c>
      <c r="F7" s="34">
        <v>42795</v>
      </c>
      <c r="G7" s="35">
        <v>42826</v>
      </c>
      <c r="H7" s="34">
        <v>42856</v>
      </c>
      <c r="I7" s="35">
        <v>42887</v>
      </c>
      <c r="J7" s="34">
        <v>42917</v>
      </c>
      <c r="K7" s="35">
        <v>42948</v>
      </c>
      <c r="L7" s="34">
        <v>42979</v>
      </c>
      <c r="M7" s="35">
        <v>43009</v>
      </c>
      <c r="N7" s="34">
        <v>43040</v>
      </c>
      <c r="O7" s="35">
        <v>43070</v>
      </c>
    </row>
    <row r="8" spans="2:52" x14ac:dyDescent="0.25">
      <c r="D8" s="32">
        <f>'Cartão de Crédito - Detalhado'!K13</f>
        <v>572.57333333333338</v>
      </c>
      <c r="E8" s="33">
        <f>'Cartão de Crédito - Detalhado'!L13</f>
        <v>1008.5733333333334</v>
      </c>
      <c r="F8" s="32">
        <f>'Cartão de Crédito - Detalhado'!M13</f>
        <v>708.66333333333341</v>
      </c>
      <c r="G8" s="33">
        <f>'Cartão de Crédito - Detalhado'!N13</f>
        <v>500.09000000000003</v>
      </c>
      <c r="H8" s="32">
        <f>'Cartão de Crédito - Detalhado'!O13</f>
        <v>1493.29</v>
      </c>
      <c r="I8" s="33">
        <f>'Cartão de Crédito - Detalhado'!P13</f>
        <v>136.09</v>
      </c>
      <c r="J8" s="32">
        <f>'Cartão de Crédito - Detalhado'!Q13</f>
        <v>136.09</v>
      </c>
      <c r="K8" s="33">
        <f>'Cartão de Crédito - Detalhado'!R13</f>
        <v>36</v>
      </c>
      <c r="L8" s="32">
        <f>'Cartão de Crédito - Detalhado'!S13</f>
        <v>0</v>
      </c>
      <c r="M8" s="33">
        <f>'Cartão de Crédito - Detalhado'!T13</f>
        <v>0</v>
      </c>
      <c r="N8" s="32">
        <f>'Cartão de Crédito - Detalhado'!U13</f>
        <v>0</v>
      </c>
      <c r="O8" s="33">
        <f>'Cartão de Crédito - Detalhado'!V13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TODO</vt:lpstr>
      <vt:lpstr>Plan4</vt:lpstr>
      <vt:lpstr>Cadastro - Catão de Crédito</vt:lpstr>
      <vt:lpstr>Cartão de Crédito - Detalhado</vt:lpstr>
      <vt:lpstr>Fluxo - Cartão de Crédito</vt:lpstr>
      <vt:lpstr>lst_Sigla_Cartao_Credito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dcterms:created xsi:type="dcterms:W3CDTF">2017-09-20T19:07:06Z</dcterms:created>
  <dcterms:modified xsi:type="dcterms:W3CDTF">2017-09-29T19:55:31Z</dcterms:modified>
</cp:coreProperties>
</file>
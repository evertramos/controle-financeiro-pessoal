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362168\OneDrive\Projetos\Budhi\Excel\Controle_Financeiro_Pessoal\"/>
    </mc:Choice>
  </mc:AlternateContent>
  <bookViews>
    <workbookView xWindow="0" yWindow="0" windowWidth="28800" windowHeight="12435" activeTab="2"/>
  </bookViews>
  <sheets>
    <sheet name="Início" sheetId="1" r:id="rId1"/>
    <sheet name="TODO" sheetId="2" r:id="rId2"/>
    <sheet name="Plan4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4" l="1"/>
  <c r="I33" i="4"/>
  <c r="H33" i="4"/>
  <c r="G13" i="4"/>
  <c r="F13" i="4"/>
  <c r="E14" i="4"/>
  <c r="C13" i="4"/>
  <c r="E10" i="4"/>
  <c r="L9" i="4"/>
  <c r="L8" i="4"/>
  <c r="F6" i="4"/>
  <c r="C10" i="4"/>
  <c r="A2" i="2"/>
  <c r="A3" i="2" s="1"/>
  <c r="A4" i="2" s="1"/>
  <c r="A5" i="2" s="1"/>
  <c r="A6" i="2" s="1"/>
  <c r="A7" i="2" s="1"/>
  <c r="A8" i="2" s="1"/>
  <c r="A9" i="2" s="1"/>
  <c r="A10" i="2" s="1"/>
  <c r="A11" i="2" s="1"/>
</calcChain>
</file>

<file path=xl/sharedStrings.xml><?xml version="1.0" encoding="utf-8"?>
<sst xmlns="http://schemas.openxmlformats.org/spreadsheetml/2006/main" count="21" uniqueCount="21">
  <si>
    <t>Descrição</t>
  </si>
  <si>
    <t>#</t>
  </si>
  <si>
    <t>Status</t>
  </si>
  <si>
    <t>Usuário e Senha</t>
  </si>
  <si>
    <t>Cálculo de Juros de Empréstimo Avançado</t>
  </si>
  <si>
    <t>Gerenciamento de Cartão de Crédito</t>
  </si>
  <si>
    <t>Gestão de Contas Fixas</t>
  </si>
  <si>
    <t>Pagamentos de Contas por categoria e por origem do recurso</t>
  </si>
  <si>
    <t>Gestão de Bancos (conas bancárias)</t>
  </si>
  <si>
    <t>Projeção de Fluxo de Caixa</t>
  </si>
  <si>
    <t>Orçamento</t>
  </si>
  <si>
    <t>Progressão Anual transferir de um ano para outro manter histórico</t>
  </si>
  <si>
    <t>Compatibilidade com Excel 2007 - 2013</t>
  </si>
  <si>
    <t>Valor Final</t>
  </si>
  <si>
    <t>Prazo</t>
  </si>
  <si>
    <t>meses</t>
  </si>
  <si>
    <t>Prestação</t>
  </si>
  <si>
    <t>mensal</t>
  </si>
  <si>
    <t>Juros</t>
  </si>
  <si>
    <t>ao mês</t>
  </si>
  <si>
    <t>Valor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</si>
</sst>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R$&quot;\ #,##0.00;[Red]\-&quot;R$&quot;\ #,##0.00"/>
    <numFmt numFmtId="43" formatCode="_-* #,##0.00_-;\-* #,##0.00_-;_-* &quot;-&quot;??_-;_-@_-"/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3" fontId="0" fillId="0" borderId="0" xfId="1" applyFont="1"/>
    <xf numFmtId="10" fontId="0" fillId="0" borderId="0" xfId="0" applyNumberFormat="1"/>
    <xf numFmtId="10" fontId="0" fillId="0" borderId="0" xfId="2" applyNumberFormat="1" applyFont="1"/>
    <xf numFmtId="8" fontId="0" fillId="0" borderId="0" xfId="0" applyNumberFormat="1"/>
    <xf numFmtId="43" fontId="0" fillId="0" borderId="0" xfId="0" applyNumberFormat="1"/>
    <xf numFmtId="8" fontId="0" fillId="0" borderId="0" xfId="1" applyNumberFormat="1" applyFont="1"/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5"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ela1" displayName="Tabela1" ref="A1:C11" totalsRowShown="0" headerRowDxfId="4" dataDxfId="2">
  <tableColumns count="3">
    <tableColumn id="1" name="#" dataDxfId="3">
      <calculatedColumnFormula>IF(ISNUMBER(OFFSET(A2,-1,0)),OFFSET(A2,-1,0)+1,1)</calculatedColumnFormula>
    </tableColumn>
    <tableColumn id="2" name="Descrição" dataDxfId="1"/>
    <tableColumn id="3" name="Statu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59999389629810485"/>
  </sheetPr>
  <dimension ref="A1:C11"/>
  <sheetViews>
    <sheetView showGridLines="0" workbookViewId="0">
      <selection activeCell="B24" sqref="B24"/>
    </sheetView>
  </sheetViews>
  <sheetFormatPr defaultRowHeight="15" x14ac:dyDescent="0.25"/>
  <cols>
    <col min="1" max="1" width="4.28515625" bestFit="1" customWidth="1"/>
    <col min="2" max="2" width="61" bestFit="1" customWidth="1"/>
  </cols>
  <sheetData>
    <row r="1" spans="1:3" x14ac:dyDescent="0.25">
      <c r="A1" s="1" t="s">
        <v>1</v>
      </c>
      <c r="B1" s="1" t="s">
        <v>0</v>
      </c>
      <c r="C1" s="1" t="s">
        <v>2</v>
      </c>
    </row>
    <row r="2" spans="1:3" x14ac:dyDescent="0.25">
      <c r="A2" s="2">
        <f ca="1">IF(ISNUMBER(OFFSET(A2,-1,0)),OFFSET(A2,-1,0)+1,1)</f>
        <v>1</v>
      </c>
      <c r="B2" s="3" t="s">
        <v>3</v>
      </c>
      <c r="C2" s="2"/>
    </row>
    <row r="3" spans="1:3" x14ac:dyDescent="0.25">
      <c r="A3" s="2">
        <f ca="1">IF(ISNUMBER(OFFSET(A3,-1,0)),OFFSET(A3,-1,0)+1,1)</f>
        <v>2</v>
      </c>
      <c r="B3" s="3" t="s">
        <v>4</v>
      </c>
      <c r="C3" s="2"/>
    </row>
    <row r="4" spans="1:3" x14ac:dyDescent="0.25">
      <c r="A4" s="2">
        <f ca="1">IF(ISNUMBER(OFFSET(A4,-1,0)),OFFSET(A4,-1,0)+1,1)</f>
        <v>3</v>
      </c>
      <c r="B4" s="3" t="s">
        <v>5</v>
      </c>
      <c r="C4" s="2"/>
    </row>
    <row r="5" spans="1:3" x14ac:dyDescent="0.25">
      <c r="A5" s="2">
        <f ca="1">IF(ISNUMBER(OFFSET(A5,-1,0)),OFFSET(A5,-1,0)+1,1)</f>
        <v>4</v>
      </c>
      <c r="B5" s="3" t="s">
        <v>6</v>
      </c>
      <c r="C5" s="2"/>
    </row>
    <row r="6" spans="1:3" x14ac:dyDescent="0.25">
      <c r="A6" s="2">
        <f ca="1">IF(ISNUMBER(OFFSET(A6,-1,0)),OFFSET(A6,-1,0)+1,1)</f>
        <v>5</v>
      </c>
      <c r="B6" s="3" t="s">
        <v>7</v>
      </c>
      <c r="C6" s="2"/>
    </row>
    <row r="7" spans="1:3" x14ac:dyDescent="0.25">
      <c r="A7" s="2">
        <f ca="1">IF(ISNUMBER(OFFSET(A7,-1,0)),OFFSET(A7,-1,0)+1,1)</f>
        <v>6</v>
      </c>
      <c r="B7" s="3" t="s">
        <v>8</v>
      </c>
      <c r="C7" s="2"/>
    </row>
    <row r="8" spans="1:3" x14ac:dyDescent="0.25">
      <c r="A8" s="2">
        <f ca="1">IF(ISNUMBER(OFFSET(A8,-1,0)),OFFSET(A8,-1,0)+1,1)</f>
        <v>7</v>
      </c>
      <c r="B8" s="3" t="s">
        <v>9</v>
      </c>
      <c r="C8" s="2"/>
    </row>
    <row r="9" spans="1:3" x14ac:dyDescent="0.25">
      <c r="A9" s="2">
        <f ca="1">IF(ISNUMBER(OFFSET(A9,-1,0)),OFFSET(A9,-1,0)+1,1)</f>
        <v>8</v>
      </c>
      <c r="B9" s="3" t="s">
        <v>10</v>
      </c>
      <c r="C9" s="2"/>
    </row>
    <row r="10" spans="1:3" x14ac:dyDescent="0.25">
      <c r="A10" s="2">
        <f ca="1">IF(ISNUMBER(OFFSET(A10,-1,0)),OFFSET(A10,-1,0)+1,1)</f>
        <v>9</v>
      </c>
      <c r="B10" s="3" t="s">
        <v>11</v>
      </c>
      <c r="C10" s="2"/>
    </row>
    <row r="11" spans="1:3" x14ac:dyDescent="0.25">
      <c r="A11" s="2">
        <f ca="1">IF(ISNUMBER(OFFSET(A11,-1,0)),OFFSET(A11,-1,0)+1,1)</f>
        <v>10</v>
      </c>
      <c r="B11" s="3" t="s">
        <v>12</v>
      </c>
      <c r="C11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L33"/>
  <sheetViews>
    <sheetView tabSelected="1" workbookViewId="0"/>
  </sheetViews>
  <sheetFormatPr defaultRowHeight="15" x14ac:dyDescent="0.25"/>
  <cols>
    <col min="2" max="2" width="14" customWidth="1"/>
    <col min="3" max="3" width="13.5703125" bestFit="1" customWidth="1"/>
    <col min="5" max="5" width="10.5703125" bestFit="1" customWidth="1"/>
    <col min="6" max="6" width="13.5703125" bestFit="1" customWidth="1"/>
    <col min="7" max="9" width="10.5703125" bestFit="1" customWidth="1"/>
    <col min="12" max="12" width="7.85546875" bestFit="1" customWidth="1"/>
  </cols>
  <sheetData>
    <row r="2" spans="2:12" x14ac:dyDescent="0.25">
      <c r="B2" t="s">
        <v>13</v>
      </c>
      <c r="C2" s="4">
        <v>200000</v>
      </c>
    </row>
    <row r="4" spans="2:12" x14ac:dyDescent="0.25">
      <c r="B4" t="s">
        <v>14</v>
      </c>
      <c r="C4">
        <v>18</v>
      </c>
      <c r="D4" t="s">
        <v>15</v>
      </c>
      <c r="J4">
        <v>-2500</v>
      </c>
    </row>
    <row r="5" spans="2:12" x14ac:dyDescent="0.25">
      <c r="J5" s="4">
        <v>100</v>
      </c>
    </row>
    <row r="6" spans="2:12" x14ac:dyDescent="0.25">
      <c r="B6" t="s">
        <v>16</v>
      </c>
      <c r="C6" s="4">
        <v>4500</v>
      </c>
      <c r="D6" t="s">
        <v>17</v>
      </c>
      <c r="F6" s="7">
        <f>FV(C8,C4,C6,-C10)</f>
        <v>-389334.48987842747</v>
      </c>
      <c r="J6" s="4">
        <v>200</v>
      </c>
    </row>
    <row r="7" spans="2:12" x14ac:dyDescent="0.25">
      <c r="J7" s="4">
        <v>300</v>
      </c>
    </row>
    <row r="8" spans="2:12" x14ac:dyDescent="0.25">
      <c r="B8" t="s">
        <v>18</v>
      </c>
      <c r="C8" s="6">
        <v>1.7999999999999999E-2</v>
      </c>
      <c r="D8" t="s">
        <v>19</v>
      </c>
      <c r="J8" s="4">
        <v>400</v>
      </c>
      <c r="L8" s="5">
        <f>IRR(J4:J10)</f>
        <v>-9.0110491317193508E-3</v>
      </c>
    </row>
    <row r="9" spans="2:12" x14ac:dyDescent="0.25">
      <c r="J9" s="4">
        <v>600</v>
      </c>
      <c r="L9" s="9">
        <f>ROUND(NPV(L8,J4:J10),2)</f>
        <v>0</v>
      </c>
    </row>
    <row r="10" spans="2:12" x14ac:dyDescent="0.25">
      <c r="B10" t="s">
        <v>20</v>
      </c>
      <c r="C10" s="7">
        <f>PV(C8,C4,C6,C2)</f>
        <v>-213733.13628278044</v>
      </c>
      <c r="E10" t="e">
        <f>v</f>
        <v>#NAME?</v>
      </c>
      <c r="J10" s="4">
        <v>800</v>
      </c>
    </row>
    <row r="13" spans="2:12" x14ac:dyDescent="0.25">
      <c r="C13" s="7">
        <f>FV(C8,C4,C6,C2)</f>
        <v>-370401.04089058476</v>
      </c>
      <c r="F13" s="10">
        <f>IRR(F14:F32)</f>
        <v>1.3100631690576847E-14</v>
      </c>
      <c r="G13" s="11">
        <f>IRR(G14:G32)</f>
        <v>3.3696640786827547E-2</v>
      </c>
    </row>
    <row r="14" spans="2:12" x14ac:dyDescent="0.25">
      <c r="C14">
        <v>4500</v>
      </c>
      <c r="E14" s="8">
        <f>C6*C4</f>
        <v>81000</v>
      </c>
      <c r="F14" s="4">
        <v>-81000</v>
      </c>
      <c r="G14" s="4">
        <v>-60000</v>
      </c>
    </row>
    <row r="15" spans="2:12" x14ac:dyDescent="0.25">
      <c r="C15">
        <v>4500</v>
      </c>
      <c r="F15" s="4">
        <v>4500</v>
      </c>
      <c r="G15" s="4">
        <v>4500</v>
      </c>
    </row>
    <row r="16" spans="2:12" x14ac:dyDescent="0.25">
      <c r="C16">
        <v>4500</v>
      </c>
      <c r="F16" s="4">
        <v>4500</v>
      </c>
      <c r="G16" s="4">
        <v>4500</v>
      </c>
    </row>
    <row r="17" spans="3:7" x14ac:dyDescent="0.25">
      <c r="C17">
        <v>4500</v>
      </c>
      <c r="F17" s="4">
        <v>4500</v>
      </c>
      <c r="G17" s="4">
        <v>4500</v>
      </c>
    </row>
    <row r="18" spans="3:7" x14ac:dyDescent="0.25">
      <c r="C18">
        <v>4500</v>
      </c>
      <c r="F18" s="4">
        <v>4500</v>
      </c>
      <c r="G18" s="4">
        <v>4500</v>
      </c>
    </row>
    <row r="19" spans="3:7" x14ac:dyDescent="0.25">
      <c r="C19">
        <v>4500</v>
      </c>
      <c r="F19" s="4">
        <v>4500</v>
      </c>
      <c r="G19" s="4">
        <v>4500</v>
      </c>
    </row>
    <row r="20" spans="3:7" x14ac:dyDescent="0.25">
      <c r="C20">
        <v>4500</v>
      </c>
      <c r="F20" s="4">
        <v>4500</v>
      </c>
      <c r="G20" s="4">
        <v>4500</v>
      </c>
    </row>
    <row r="21" spans="3:7" x14ac:dyDescent="0.25">
      <c r="C21">
        <v>4500</v>
      </c>
      <c r="F21" s="4">
        <v>4500</v>
      </c>
      <c r="G21" s="4">
        <v>4500</v>
      </c>
    </row>
    <row r="22" spans="3:7" x14ac:dyDescent="0.25">
      <c r="C22">
        <v>4500</v>
      </c>
      <c r="F22" s="4">
        <v>4500</v>
      </c>
      <c r="G22" s="4">
        <v>4500</v>
      </c>
    </row>
    <row r="23" spans="3:7" x14ac:dyDescent="0.25">
      <c r="C23">
        <v>4500</v>
      </c>
      <c r="F23" s="4">
        <v>4500</v>
      </c>
      <c r="G23" s="4">
        <v>4500</v>
      </c>
    </row>
    <row r="24" spans="3:7" x14ac:dyDescent="0.25">
      <c r="C24">
        <v>4500</v>
      </c>
      <c r="F24" s="4">
        <v>4500</v>
      </c>
      <c r="G24" s="4">
        <v>4500</v>
      </c>
    </row>
    <row r="25" spans="3:7" x14ac:dyDescent="0.25">
      <c r="C25">
        <v>4500</v>
      </c>
      <c r="F25" s="4">
        <v>4500</v>
      </c>
      <c r="G25" s="4">
        <v>4500</v>
      </c>
    </row>
    <row r="26" spans="3:7" x14ac:dyDescent="0.25">
      <c r="C26">
        <v>4500</v>
      </c>
      <c r="F26" s="4">
        <v>4500</v>
      </c>
      <c r="G26" s="4">
        <v>4500</v>
      </c>
    </row>
    <row r="27" spans="3:7" x14ac:dyDescent="0.25">
      <c r="C27">
        <v>4500</v>
      </c>
      <c r="F27" s="4">
        <v>4500</v>
      </c>
      <c r="G27" s="4">
        <v>4500</v>
      </c>
    </row>
    <row r="28" spans="3:7" x14ac:dyDescent="0.25">
      <c r="C28">
        <v>4500</v>
      </c>
      <c r="F28" s="4">
        <v>4500</v>
      </c>
      <c r="G28" s="4">
        <v>4500</v>
      </c>
    </row>
    <row r="29" spans="3:7" x14ac:dyDescent="0.25">
      <c r="C29">
        <v>4500</v>
      </c>
      <c r="F29" s="4">
        <v>4500</v>
      </c>
      <c r="G29" s="4">
        <v>4500</v>
      </c>
    </row>
    <row r="30" spans="3:7" x14ac:dyDescent="0.25">
      <c r="C30">
        <v>4500</v>
      </c>
      <c r="F30" s="4">
        <v>4500</v>
      </c>
      <c r="G30" s="4">
        <v>4500</v>
      </c>
    </row>
    <row r="31" spans="3:7" x14ac:dyDescent="0.25">
      <c r="C31">
        <v>4500</v>
      </c>
      <c r="F31" s="4">
        <v>4500</v>
      </c>
      <c r="G31" s="4">
        <v>4500</v>
      </c>
    </row>
    <row r="32" spans="3:7" x14ac:dyDescent="0.25">
      <c r="F32" s="4">
        <v>4500</v>
      </c>
      <c r="G32" s="4">
        <v>4500</v>
      </c>
    </row>
    <row r="33" spans="8:10" x14ac:dyDescent="0.25">
      <c r="H33" s="8">
        <f>SUM(G15:G32)</f>
        <v>81000</v>
      </c>
      <c r="I33" s="8">
        <f>H33+G14</f>
        <v>21000</v>
      </c>
      <c r="J33" s="6">
        <f>I33/-G14/C4</f>
        <v>1.9444444444444445E-2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Início</vt:lpstr>
      <vt:lpstr>TODO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dcterms:created xsi:type="dcterms:W3CDTF">2017-09-20T19:07:06Z</dcterms:created>
  <dcterms:modified xsi:type="dcterms:W3CDTF">2017-09-20T20:00:11Z</dcterms:modified>
</cp:coreProperties>
</file>